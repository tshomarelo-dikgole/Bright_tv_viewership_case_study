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standardbank-my.sharepoint.com/personal/tshomarelo_dikgole_standardbank_co_za/Documents/Desktop/power bi/"/>
    </mc:Choice>
  </mc:AlternateContent>
  <xr:revisionPtr revIDLastSave="611" documentId="8_{DA9905DB-84A0-4AE2-B76F-50168F5103F8}" xr6:coauthVersionLast="47" xr6:coauthVersionMax="47" xr10:uidLastSave="{C21BA192-F61F-4080-90EC-61DF967549D1}"/>
  <bookViews>
    <workbookView xWindow="-110" yWindow="-110" windowWidth="19420" windowHeight="10300" xr2:uid="{BF9027A5-236A-4F5F-8721-045453FE6CAB}"/>
  </bookViews>
  <sheets>
    <sheet name="Analysis" sheetId="2" r:id="rId1"/>
    <sheet name="Bright_tv_viewership_analysis" sheetId="1" r:id="rId2"/>
  </sheets>
  <definedNames>
    <definedName name="_xlchart.v2.0" hidden="1">Analysis!$G$86:$G$103</definedName>
    <definedName name="_xlchart.v2.1" hidden="1">Analysis!$G$87:$G$103</definedName>
    <definedName name="_xlchart.v2.2" hidden="1">Analysis!$H$85</definedName>
    <definedName name="_xlchart.v2.3" hidden="1">Analysis!$H$86:$H$103</definedName>
    <definedName name="_xlchart.v2.4" hidden="1">Analysis!$H$87:$H$103</definedName>
    <definedName name="Slicer_Channel2">#N/A</definedName>
  </definedNames>
  <calcPr calcId="191029"/>
  <pivotCaches>
    <pivotCache cacheId="1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9" i="2" l="1"/>
  <c r="F87" i="2"/>
  <c r="F99" i="2"/>
  <c r="F94" i="2"/>
  <c r="F90" i="2"/>
  <c r="F100" i="2"/>
  <c r="C160" i="2"/>
  <c r="C161" i="2"/>
  <c r="C157" i="2"/>
  <c r="C156" i="2"/>
  <c r="C87" i="2"/>
  <c r="C92" i="2"/>
  <c r="C91" i="2"/>
  <c r="C90" i="2"/>
  <c r="C89" i="2"/>
  <c r="C88" i="2"/>
  <c r="C86" i="2"/>
  <c r="C25" i="2"/>
  <c r="C24" i="2"/>
  <c r="C22" i="2"/>
  <c r="C23" i="2"/>
  <c r="C21" i="2"/>
  <c r="C20" i="2"/>
</calcChain>
</file>

<file path=xl/sharedStrings.xml><?xml version="1.0" encoding="utf-8"?>
<sst xmlns="http://schemas.openxmlformats.org/spreadsheetml/2006/main" count="11251" uniqueCount="1540">
  <si>
    <t>UserID_Profile</t>
  </si>
  <si>
    <t>Gender</t>
  </si>
  <si>
    <t>Race</t>
  </si>
  <si>
    <t>Age</t>
  </si>
  <si>
    <t>Province</t>
  </si>
  <si>
    <t>RecordDate2</t>
  </si>
  <si>
    <t>Duration_2</t>
  </si>
  <si>
    <t>Channel2</t>
  </si>
  <si>
    <t>RecordDate_SAST</t>
  </si>
  <si>
    <t>HourOfDay</t>
  </si>
  <si>
    <t>DayOfWeek</t>
  </si>
  <si>
    <t>MonthofYear</t>
  </si>
  <si>
    <t>Day_classification</t>
  </si>
  <si>
    <t>Age_Group</t>
  </si>
  <si>
    <t>Time_bucket</t>
  </si>
  <si>
    <t>male</t>
  </si>
  <si>
    <t>coloured</t>
  </si>
  <si>
    <t>Western Cape</t>
  </si>
  <si>
    <t>2026-04-11T00:02:00.000Z</t>
  </si>
  <si>
    <t>Trace TV</t>
  </si>
  <si>
    <t>2016-01-04T20:09:00.000Z</t>
  </si>
  <si>
    <t>Mon</t>
  </si>
  <si>
    <t>Jan</t>
  </si>
  <si>
    <t>Weekday</t>
  </si>
  <si>
    <t>Young_adult</t>
  </si>
  <si>
    <t>Family_time</t>
  </si>
  <si>
    <t>None</t>
  </si>
  <si>
    <t>2026-04-11T00:10:06.000Z</t>
  </si>
  <si>
    <t>ICC Cricket World Cup 2011</t>
  </si>
  <si>
    <t>2016-03-30T11:04:00.000Z</t>
  </si>
  <si>
    <t>Wed</t>
  </si>
  <si>
    <t>Mar</t>
  </si>
  <si>
    <t>Under_18</t>
  </si>
  <si>
    <t>Morning_views</t>
  </si>
  <si>
    <t>indian_asian</t>
  </si>
  <si>
    <t>Gauteng</t>
  </si>
  <si>
    <t>2026-04-11T00:00:42.000Z</t>
  </si>
  <si>
    <t>2016-03-30T19:01:00.000Z</t>
  </si>
  <si>
    <t>female</t>
  </si>
  <si>
    <t>white</t>
  </si>
  <si>
    <t>2026-04-11T00:00:10.000Z</t>
  </si>
  <si>
    <t>2016-03-25T17:23:00.000Z</t>
  </si>
  <si>
    <t>Fri</t>
  </si>
  <si>
    <t>Senior_citizens</t>
  </si>
  <si>
    <t>Daytime_viewing</t>
  </si>
  <si>
    <t>Eastern Cape</t>
  </si>
  <si>
    <t>2026-04-11T00:01:33.000Z</t>
  </si>
  <si>
    <t>SawSee</t>
  </si>
  <si>
    <t>2016-02-02T19:18:00.000Z</t>
  </si>
  <si>
    <t>Tue</t>
  </si>
  <si>
    <t>Feb</t>
  </si>
  <si>
    <t>Boomerang</t>
  </si>
  <si>
    <t>2016-03-18T18:56:00.000Z</t>
  </si>
  <si>
    <t>2026-04-11T00:17:15.000Z</t>
  </si>
  <si>
    <t>Channel O</t>
  </si>
  <si>
    <t>2016-03-20T06:25:00.000Z</t>
  </si>
  <si>
    <t>Sun</t>
  </si>
  <si>
    <t>Weekend</t>
  </si>
  <si>
    <t>Night_Owl</t>
  </si>
  <si>
    <t>2026-04-11T00:01:13.000Z</t>
  </si>
  <si>
    <t>2016-02-03T08:43:00.000Z</t>
  </si>
  <si>
    <t>2026-04-11T00:04:45.000Z</t>
  </si>
  <si>
    <t>2016-03-31T12:01:00.000Z</t>
  </si>
  <si>
    <t>Thu</t>
  </si>
  <si>
    <t>Kwazulu Natal</t>
  </si>
  <si>
    <t>2026-04-11T00:00:40.000Z</t>
  </si>
  <si>
    <t>Cartoon Network</t>
  </si>
  <si>
    <t>2016-01-09T10:25:00.000Z</t>
  </si>
  <si>
    <t>Sat</t>
  </si>
  <si>
    <t>Youth</t>
  </si>
  <si>
    <t>2026-04-11T00:00:06.000Z</t>
  </si>
  <si>
    <t>Supersport Live Events</t>
  </si>
  <si>
    <t>2016-03-24T11:09:00.000Z</t>
  </si>
  <si>
    <t>2026-04-11T05:01:12.000Z</t>
  </si>
  <si>
    <t>2016-03-26T17:33:00.000Z</t>
  </si>
  <si>
    <t>Mpumalanga</t>
  </si>
  <si>
    <t>2026-04-11T00:00:00.000Z</t>
  </si>
  <si>
    <t>2016-02-28T10:09:00.000Z</t>
  </si>
  <si>
    <t>black</t>
  </si>
  <si>
    <t>2026-04-11T00:11:15.000Z</t>
  </si>
  <si>
    <t>2016-02-15T10:40:00.000Z</t>
  </si>
  <si>
    <t>2026-04-11T00:22:02.000Z</t>
  </si>
  <si>
    <t>2016-01-09T17:40:00.000Z</t>
  </si>
  <si>
    <t>2026-04-11T00:04:12.000Z</t>
  </si>
  <si>
    <t>2016-02-05T15:47:00.000Z</t>
  </si>
  <si>
    <t>2026-04-11T00:01:14.000Z</t>
  </si>
  <si>
    <t>SuperSport Blitz</t>
  </si>
  <si>
    <t>2016-02-20T07:34:00.000Z</t>
  </si>
  <si>
    <t>2026-04-11T00:00:50.000Z</t>
  </si>
  <si>
    <t>2016-02-21T15:45:00.000Z</t>
  </si>
  <si>
    <t>2026-04-11T00:01:42.000Z</t>
  </si>
  <si>
    <t>E! Entertainment</t>
  </si>
  <si>
    <t>2016-02-19T13:03:00.000Z</t>
  </si>
  <si>
    <t>Adults</t>
  </si>
  <si>
    <t>2016-02-19T22:15:00.000Z</t>
  </si>
  <si>
    <t>2016-03-01T05:17:00.000Z</t>
  </si>
  <si>
    <t>2026-04-11T00:00:26.000Z</t>
  </si>
  <si>
    <t>Break in transmission</t>
  </si>
  <si>
    <t>2016-02-27T20:13:00.000Z</t>
  </si>
  <si>
    <t>2026-04-11T00:00:24.000Z</t>
  </si>
  <si>
    <t>2016-02-28T22:20:00.000Z</t>
  </si>
  <si>
    <t>2026-04-11T00:01:24.000Z</t>
  </si>
  <si>
    <t>kykNET</t>
  </si>
  <si>
    <t>2016-03-31T01:52:00.000Z</t>
  </si>
  <si>
    <t>Latenight_viewing</t>
  </si>
  <si>
    <t>2026-04-11T00:00:11.000Z</t>
  </si>
  <si>
    <t>Africa Magic</t>
  </si>
  <si>
    <t>2016-03-30T21:13:00.000Z</t>
  </si>
  <si>
    <t>2026-04-11T00:00:15.000Z</t>
  </si>
  <si>
    <t>2016-03-09T10:51:00.000Z</t>
  </si>
  <si>
    <t>2026-04-11T00:07:54.000Z</t>
  </si>
  <si>
    <t>2016-03-29T04:23:00.000Z</t>
  </si>
  <si>
    <t>2026-04-11T00:18:27.000Z</t>
  </si>
  <si>
    <t>2016-03-02T08:01:00.000Z</t>
  </si>
  <si>
    <t>2026-04-11T00:00:48.000Z</t>
  </si>
  <si>
    <t>2016-03-06T17:58:00.000Z</t>
  </si>
  <si>
    <t>CNN</t>
  </si>
  <si>
    <t>2016-02-25T21:48:00.000Z</t>
  </si>
  <si>
    <t>2016-02-25T17:59:00.000Z</t>
  </si>
  <si>
    <t>2016-03-04T09:21:00.000Z</t>
  </si>
  <si>
    <t>2026-04-11T00:02:15.000Z</t>
  </si>
  <si>
    <t>2016-02-04T16:12:00.000Z</t>
  </si>
  <si>
    <t>2016-01-25T17:59:00.000Z</t>
  </si>
  <si>
    <t>2026-04-11T00:00:03.000Z</t>
  </si>
  <si>
    <t>2016-03-07T19:16:00.000Z</t>
  </si>
  <si>
    <t>2026-04-11T00:14:58.000Z</t>
  </si>
  <si>
    <t>2016-03-29T18:03:00.000Z</t>
  </si>
  <si>
    <t>2026-04-11T00:01:22.000Z</t>
  </si>
  <si>
    <t>2016-03-10T23:30:00.000Z</t>
  </si>
  <si>
    <t>other</t>
  </si>
  <si>
    <t>2026-04-11T00:01:12.000Z</t>
  </si>
  <si>
    <t>2016-02-21T20:03:00.000Z</t>
  </si>
  <si>
    <t>2026-04-11T00:13:21.000Z</t>
  </si>
  <si>
    <t>2016-02-17T20:45:00.000Z</t>
  </si>
  <si>
    <t>Limpopo</t>
  </si>
  <si>
    <t>2016-04-01T01:24:00.000Z</t>
  </si>
  <si>
    <t>2026-04-11T00:01:18.000Z</t>
  </si>
  <si>
    <t>2016-03-12T10:24:00.000Z</t>
  </si>
  <si>
    <t>2016-03-09T05:54:00.000Z</t>
  </si>
  <si>
    <t>2026-04-11T00:00:54.000Z</t>
  </si>
  <si>
    <t>2016-03-31T15:17:00.000Z</t>
  </si>
  <si>
    <t>2026-04-11T01:29:08.000Z</t>
  </si>
  <si>
    <t>2016-02-19T09:20:00.000Z</t>
  </si>
  <si>
    <t>2026-04-11T00:01:48.000Z</t>
  </si>
  <si>
    <t>2016-02-21T08:27:00.000Z</t>
  </si>
  <si>
    <t>2026-04-11T00:01:06.000Z</t>
  </si>
  <si>
    <t>2016-02-02T12:17:00.000Z</t>
  </si>
  <si>
    <t>2026-04-11T00:03:14.000Z</t>
  </si>
  <si>
    <t>2016-02-25T08:38:00.000Z</t>
  </si>
  <si>
    <t>2026-04-11T00:21:11.000Z</t>
  </si>
  <si>
    <t>2016-02-18T14:00:00.000Z</t>
  </si>
  <si>
    <t>2016-02-01T14:51:00.000Z</t>
  </si>
  <si>
    <t>2026-04-11T00:00:13.000Z</t>
  </si>
  <si>
    <t>2016-01-30T23:43:00.000Z</t>
  </si>
  <si>
    <t>2026-04-11T00:03:52.000Z</t>
  </si>
  <si>
    <t>2016-03-02T14:32:00.000Z</t>
  </si>
  <si>
    <t>2026-04-11T00:00:56.000Z</t>
  </si>
  <si>
    <t>2016-03-08T12:46:00.000Z</t>
  </si>
  <si>
    <t>2016-03-08T17:28:00.000Z</t>
  </si>
  <si>
    <t>2016-01-27T14:03:00.000Z</t>
  </si>
  <si>
    <t>2026-04-11T00:00:46.000Z</t>
  </si>
  <si>
    <t>2016-02-28T18:53:00.000Z</t>
  </si>
  <si>
    <t>2016-01-16T11:52:00.000Z</t>
  </si>
  <si>
    <t>2026-04-11T00:05:30.000Z</t>
  </si>
  <si>
    <t>2016-02-13T21:35:00.000Z</t>
  </si>
  <si>
    <t>2016-03-01T14:15:00.000Z</t>
  </si>
  <si>
    <t>2026-04-11T00:00:02.000Z</t>
  </si>
  <si>
    <t>2016-03-02T00:07:00.000Z</t>
  </si>
  <si>
    <t>2026-04-11T00:00:57.000Z</t>
  </si>
  <si>
    <t>2016-01-11T20:18:00.000Z</t>
  </si>
  <si>
    <t>2026-04-11T01:32:32.000Z</t>
  </si>
  <si>
    <t>2016-01-24T20:35:00.000Z</t>
  </si>
  <si>
    <t>2026-04-11T00:02:31.000Z</t>
  </si>
  <si>
    <t>2016-03-13T20:39:00.000Z</t>
  </si>
  <si>
    <t>2026-04-11T00:00:36.000Z</t>
  </si>
  <si>
    <t>2016-03-14T12:38:00.000Z</t>
  </si>
  <si>
    <t>2026-04-11T00:00:37.000Z</t>
  </si>
  <si>
    <t>2016-03-18T16:04:00.000Z</t>
  </si>
  <si>
    <t>2026-04-11T00:00:20.000Z</t>
  </si>
  <si>
    <t>Vuzu</t>
  </si>
  <si>
    <t>2016-03-19T09:23:00.000Z</t>
  </si>
  <si>
    <t>2026-04-11T00:00:08.000Z</t>
  </si>
  <si>
    <t>2016-03-31T12:45:00.000Z</t>
  </si>
  <si>
    <t>2016-03-30T16:13:00.000Z</t>
  </si>
  <si>
    <t>2026-04-11T00:22:56.000Z</t>
  </si>
  <si>
    <t>2016-03-08T11:19:00.000Z</t>
  </si>
  <si>
    <t>2016-03-19T07:10:00.000Z</t>
  </si>
  <si>
    <t>2026-04-11T00:00:38.000Z</t>
  </si>
  <si>
    <t>2016-03-12T11:38:00.000Z</t>
  </si>
  <si>
    <t>2026-04-11T00:01:52.000Z</t>
  </si>
  <si>
    <t>2016-03-12T11:48:00.000Z</t>
  </si>
  <si>
    <t>2026-04-11T00:27:16.000Z</t>
  </si>
  <si>
    <t>2016-03-09T15:14:00.000Z</t>
  </si>
  <si>
    <t>2026-04-11T00:04:22.000Z</t>
  </si>
  <si>
    <t>2016-03-26T14:44:00.000Z</t>
  </si>
  <si>
    <t>Free State</t>
  </si>
  <si>
    <t>2026-04-11T00:00:07.000Z</t>
  </si>
  <si>
    <t>2016-03-02T13:07:00.000Z</t>
  </si>
  <si>
    <t>2026-04-11T00:23:04.000Z</t>
  </si>
  <si>
    <t>2016-03-24T11:45:00.000Z</t>
  </si>
  <si>
    <t>2026-04-11T00:06:10.000Z</t>
  </si>
  <si>
    <t>2016-02-25T11:28:00.000Z</t>
  </si>
  <si>
    <t>2026-04-11T00:05:42.000Z</t>
  </si>
  <si>
    <t>2016-03-29T21:34:00.000Z</t>
  </si>
  <si>
    <t>2026-04-11T00:06:54.000Z</t>
  </si>
  <si>
    <t>2016-03-30T13:55:00.000Z</t>
  </si>
  <si>
    <t>2026-04-11T00:01:28.000Z</t>
  </si>
  <si>
    <t>2016-02-22T10:29:00.000Z</t>
  </si>
  <si>
    <t>2026-04-11T00:04:30.000Z</t>
  </si>
  <si>
    <t>2016-03-02T11:38:00.000Z</t>
  </si>
  <si>
    <t>2016-03-11T10:40:00.000Z</t>
  </si>
  <si>
    <t>2026-04-11T00:03:56.000Z</t>
  </si>
  <si>
    <t>2016-02-24T13:23:00.000Z</t>
  </si>
  <si>
    <t>2026-04-11T00:03:44.000Z</t>
  </si>
  <si>
    <t>2016-02-24T10:33:00.000Z</t>
  </si>
  <si>
    <t>2026-04-11T00:00:28.000Z</t>
  </si>
  <si>
    <t>2016-02-27T19:11:00.000Z</t>
  </si>
  <si>
    <t>2016-02-23T17:26:00.000Z</t>
  </si>
  <si>
    <t>2026-04-11T00:23:08.000Z</t>
  </si>
  <si>
    <t>2016-03-30T14:19:00.000Z</t>
  </si>
  <si>
    <t>2026-04-11T00:00:52.000Z</t>
  </si>
  <si>
    <t>2016-03-31T23:19:00.000Z</t>
  </si>
  <si>
    <t>2026-04-11T00:02:54.000Z</t>
  </si>
  <si>
    <t>2016-03-14T13:51:00.000Z</t>
  </si>
  <si>
    <t>2026-04-11T00:01:43.000Z</t>
  </si>
  <si>
    <t>M-Net</t>
  </si>
  <si>
    <t>2016-03-06T07:02:00.000Z</t>
  </si>
  <si>
    <t>2026-04-11T00:01:44.000Z</t>
  </si>
  <si>
    <t>2016-02-26T17:53:00.000Z</t>
  </si>
  <si>
    <t>2026-04-11T00:53:50.000Z</t>
  </si>
  <si>
    <t>2016-03-15T12:20:00.000Z</t>
  </si>
  <si>
    <t>2026-04-11T00:05:54.000Z</t>
  </si>
  <si>
    <t>2016-03-12T16:47:00.000Z</t>
  </si>
  <si>
    <t>2026-04-11T00:00:14.000Z</t>
  </si>
  <si>
    <t>2016-02-08T12:45:00.000Z</t>
  </si>
  <si>
    <t>2016-03-10T12:50:00.000Z</t>
  </si>
  <si>
    <t>2026-04-11T00:04:31.000Z</t>
  </si>
  <si>
    <t>2016-03-10T21:13:00.000Z</t>
  </si>
  <si>
    <t>2026-04-11T00:20:39.000Z</t>
  </si>
  <si>
    <t>2016-02-11T21:35:00.000Z</t>
  </si>
  <si>
    <t>2026-04-11T00:06:16.000Z</t>
  </si>
  <si>
    <t>2016-01-20T07:20:00.000Z</t>
  </si>
  <si>
    <t>2026-04-11T00:13:19.000Z</t>
  </si>
  <si>
    <t>2016-01-18T15:06:00.000Z</t>
  </si>
  <si>
    <t>2026-04-11T00:00:35.000Z</t>
  </si>
  <si>
    <t>2016-02-20T18:51:00.000Z</t>
  </si>
  <si>
    <t>2026-04-11T00:14:12.000Z</t>
  </si>
  <si>
    <t>2016-01-10T09:34:00.000Z</t>
  </si>
  <si>
    <t>2026-04-11T00:01:03.000Z</t>
  </si>
  <si>
    <t>2016-01-19T20:42:00.000Z</t>
  </si>
  <si>
    <t>2026-04-11T00:02:25.000Z</t>
  </si>
  <si>
    <t>DStv Events 1</t>
  </si>
  <si>
    <t>2016-01-18T19:49:00.000Z</t>
  </si>
  <si>
    <t>2026-04-11T00:00:17.000Z</t>
  </si>
  <si>
    <t>2016-03-05T23:12:00.000Z</t>
  </si>
  <si>
    <t>2016-03-06T07:25:00.000Z</t>
  </si>
  <si>
    <t>2016-03-06T09:09:00.000Z</t>
  </si>
  <si>
    <t>2026-04-11T00:38:12.000Z</t>
  </si>
  <si>
    <t>2016-03-30T13:17:00.000Z</t>
  </si>
  <si>
    <t>2026-04-11T00:02:26.000Z</t>
  </si>
  <si>
    <t>2016-02-04T10:42:00.000Z</t>
  </si>
  <si>
    <t>2016-02-01T22:10:00.000Z</t>
  </si>
  <si>
    <t>2026-04-11T00:06:27.000Z</t>
  </si>
  <si>
    <t>2016-02-28T07:58:00.000Z</t>
  </si>
  <si>
    <t>2026-04-11T00:04:56.000Z</t>
  </si>
  <si>
    <t>2016-01-05T23:33:00.000Z</t>
  </si>
  <si>
    <t>2016-01-10T06:43:00.000Z</t>
  </si>
  <si>
    <t>2016-02-18T22:23:00.000Z</t>
  </si>
  <si>
    <t>2026-04-11T00:02:33.000Z</t>
  </si>
  <si>
    <t>2016-02-12T02:38:00.000Z</t>
  </si>
  <si>
    <t>2026-04-11T00:11:39.000Z</t>
  </si>
  <si>
    <t>2016-03-22T20:50:00.000Z</t>
  </si>
  <si>
    <t>2016-03-05T19:30:00.000Z</t>
  </si>
  <si>
    <t>2026-04-11T00:11:24.000Z</t>
  </si>
  <si>
    <t>2016-03-06T11:20:00.000Z</t>
  </si>
  <si>
    <t>2026-04-11T00:03:24.000Z</t>
  </si>
  <si>
    <t>2016-03-09T06:54:00.000Z</t>
  </si>
  <si>
    <t>2026-04-11T00:04:39.000Z</t>
  </si>
  <si>
    <t>2016-03-09T20:00:00.000Z</t>
  </si>
  <si>
    <t>2026-04-11T00:13:48.000Z</t>
  </si>
  <si>
    <t>2016-03-15T01:35:00.000Z</t>
  </si>
  <si>
    <t>2026-04-11T00:38:02.000Z</t>
  </si>
  <si>
    <t>2016-03-12T14:18:00.000Z</t>
  </si>
  <si>
    <t>2026-04-11T00:01:09.000Z</t>
  </si>
  <si>
    <t>2016-03-12T14:19:00.000Z</t>
  </si>
  <si>
    <t>2016-03-16T02:02:00.000Z</t>
  </si>
  <si>
    <t>2026-04-11T00:03:18.000Z</t>
  </si>
  <si>
    <t>2016-03-16T02:14:00.000Z</t>
  </si>
  <si>
    <t>2026-04-11T00:12:40.000Z</t>
  </si>
  <si>
    <t>2016-03-24T14:17:00.000Z</t>
  </si>
  <si>
    <t>2016-03-11T18:58:00.000Z</t>
  </si>
  <si>
    <t>2016-02-06T08:56:00.000Z</t>
  </si>
  <si>
    <t>2026-04-11T00:04:03.000Z</t>
  </si>
  <si>
    <t>2016-02-06T12:38:00.000Z</t>
  </si>
  <si>
    <t>2026-04-11T00:03:38.000Z</t>
  </si>
  <si>
    <t>2016-02-06T21:55:00.000Z</t>
  </si>
  <si>
    <t>2026-04-11T00:04:57.000Z</t>
  </si>
  <si>
    <t>2016-03-06T14:38:00.000Z</t>
  </si>
  <si>
    <t>2026-04-11T00:02:42.000Z</t>
  </si>
  <si>
    <t>2016-02-12T19:16:00.000Z</t>
  </si>
  <si>
    <t>2026-04-11T00:01:02.000Z</t>
  </si>
  <si>
    <t>2016-03-06T15:58:00.000Z</t>
  </si>
  <si>
    <t>2026-04-11T00:01:38.000Z</t>
  </si>
  <si>
    <t>2016-03-06T16:00:00.000Z</t>
  </si>
  <si>
    <t>2026-04-11T00:01:30.000Z</t>
  </si>
  <si>
    <t>2016-03-27T18:07:00.000Z</t>
  </si>
  <si>
    <t>2026-04-11T00:17:32.000Z</t>
  </si>
  <si>
    <t>2016-03-27T16:51:00.000Z</t>
  </si>
  <si>
    <t>2026-04-11T00:27:14.000Z</t>
  </si>
  <si>
    <t>2016-02-05T17:17:00.000Z</t>
  </si>
  <si>
    <t>2026-04-11T00:02:28.000Z</t>
  </si>
  <si>
    <t>2016-03-24T12:46:00.000Z</t>
  </si>
  <si>
    <t>2026-04-11T00:00:51.000Z</t>
  </si>
  <si>
    <t>2016-02-06T18:10:00.000Z</t>
  </si>
  <si>
    <t>2026-04-11T00:00:18.000Z</t>
  </si>
  <si>
    <t>2016-02-06T18:18:00.000Z</t>
  </si>
  <si>
    <t>2026-04-11T00:24:10.000Z</t>
  </si>
  <si>
    <t>2016-03-27T18:58:00.000Z</t>
  </si>
  <si>
    <t>2026-04-11T01:44:38.000Z</t>
  </si>
  <si>
    <t>2016-03-26T19:00:00.000Z</t>
  </si>
  <si>
    <t>2016-03-20T22:18:00.000Z</t>
  </si>
  <si>
    <t>2026-04-11T00:08:12.000Z</t>
  </si>
  <si>
    <t>2016-03-26T12:25:00.000Z</t>
  </si>
  <si>
    <t>2016-01-11T22:08:00.000Z</t>
  </si>
  <si>
    <t>2026-04-11T00:09:11.000Z</t>
  </si>
  <si>
    <t>2016-02-01T00:06:00.000Z</t>
  </si>
  <si>
    <t>2026-04-11T00:00:32.000Z</t>
  </si>
  <si>
    <t>2016-02-03T15:31:00.000Z</t>
  </si>
  <si>
    <t>2026-04-11T00:05:58.000Z</t>
  </si>
  <si>
    <t>2016-01-18T17:04:00.000Z</t>
  </si>
  <si>
    <t>2026-04-11T00:05:50.000Z</t>
  </si>
  <si>
    <t>2016-03-24T14:31:00.000Z</t>
  </si>
  <si>
    <t>2016-02-18T12:25:00.000Z</t>
  </si>
  <si>
    <t>2026-04-11T00:02:47.000Z</t>
  </si>
  <si>
    <t>2016-01-04T18:11:00.000Z</t>
  </si>
  <si>
    <t>North West</t>
  </si>
  <si>
    <t>2026-04-11T00:07:06.000Z</t>
  </si>
  <si>
    <t>2016-03-14T09:08:00.000Z</t>
  </si>
  <si>
    <t>2026-04-11T00:15:21.000Z</t>
  </si>
  <si>
    <t>2016-03-07T16:45:00.000Z</t>
  </si>
  <si>
    <t>2026-04-11T00:02:56.000Z</t>
  </si>
  <si>
    <t>2016-02-24T17:57:00.000Z</t>
  </si>
  <si>
    <t>2016-02-25T23:13:00.000Z</t>
  </si>
  <si>
    <t xml:space="preserve"> </t>
  </si>
  <si>
    <t>2026-04-11T00:07:00.000Z</t>
  </si>
  <si>
    <t>2016-03-26T15:50:00.000Z</t>
  </si>
  <si>
    <t>2026-04-11T01:06:21.000Z</t>
  </si>
  <si>
    <t>2016-03-21T14:34:00.000Z</t>
  </si>
  <si>
    <t>2016-03-27T00:02:00.000Z</t>
  </si>
  <si>
    <t>2016-03-26T22:09:00.000Z</t>
  </si>
  <si>
    <t>2026-04-11T00:05:10.000Z</t>
  </si>
  <si>
    <t>2016-01-02T11:49:00.000Z</t>
  </si>
  <si>
    <t>2016-03-05T14:57:00.000Z</t>
  </si>
  <si>
    <t>2026-04-11T00:13:04.000Z</t>
  </si>
  <si>
    <t>2016-03-06T11:33:00.000Z</t>
  </si>
  <si>
    <t>2026-04-11T00:13:54.000Z</t>
  </si>
  <si>
    <t>2016-03-06T10:32:00.000Z</t>
  </si>
  <si>
    <t>2026-04-11T00:09:55.000Z</t>
  </si>
  <si>
    <t>2016-01-02T14:42:00.000Z</t>
  </si>
  <si>
    <t>2026-04-11T01:23:54.000Z</t>
  </si>
  <si>
    <t>2016-01-30T16:11:00.000Z</t>
  </si>
  <si>
    <t>2026-04-11T00:00:21.000Z</t>
  </si>
  <si>
    <t>2016-01-01T13:25:00.000Z</t>
  </si>
  <si>
    <t>2026-04-11T00:06:06.000Z</t>
  </si>
  <si>
    <t>2016-01-08T16:50:00.000Z</t>
  </si>
  <si>
    <t>2016-01-01T04:37:00.000Z</t>
  </si>
  <si>
    <t>2026-04-11T01:19:52.000Z</t>
  </si>
  <si>
    <t>2016-02-12T18:51:00.000Z</t>
  </si>
  <si>
    <t>2016-03-01T02:30:00.000Z</t>
  </si>
  <si>
    <t>2026-04-11T00:47:18.000Z</t>
  </si>
  <si>
    <t>2016-01-01T16:32:00.000Z</t>
  </si>
  <si>
    <t>2026-04-11T00:00:27.000Z</t>
  </si>
  <si>
    <t>2016-01-13T16:27:00.000Z</t>
  </si>
  <si>
    <t>2026-04-11T00:00:44.000Z</t>
  </si>
  <si>
    <t>2016-03-14T09:40:00.000Z</t>
  </si>
  <si>
    <t>2026-04-11T00:08:40.000Z</t>
  </si>
  <si>
    <t>2016-03-08T23:04:00.000Z</t>
  </si>
  <si>
    <t>2016-03-06T11:48:00.000Z</t>
  </si>
  <si>
    <t>2016-03-19T04:07:00.000Z</t>
  </si>
  <si>
    <t>2016-03-20T16:34:00.000Z</t>
  </si>
  <si>
    <t>2016-03-20T17:36:00.000Z</t>
  </si>
  <si>
    <t>2026-04-11T00:15:03.000Z</t>
  </si>
  <si>
    <t>2016-03-22T18:45:00.000Z</t>
  </si>
  <si>
    <t>2016-03-18T22:38:00.000Z</t>
  </si>
  <si>
    <t>2026-04-11T00:00:12.000Z</t>
  </si>
  <si>
    <t>2016-03-18T10:19:00.000Z</t>
  </si>
  <si>
    <t>2016-03-18T22:05:00.000Z</t>
  </si>
  <si>
    <t>2026-04-11T00:00:49.000Z</t>
  </si>
  <si>
    <t>2016-03-20T14:27:00.000Z</t>
  </si>
  <si>
    <t>2026-04-11T00:01:46.000Z</t>
  </si>
  <si>
    <t>2016-03-28T15:33:00.000Z</t>
  </si>
  <si>
    <t>2026-04-11T00:05:00.000Z</t>
  </si>
  <si>
    <t>2016-03-28T15:46:00.000Z</t>
  </si>
  <si>
    <t>2026-04-11T00:45:00.000Z</t>
  </si>
  <si>
    <t>2016-03-25T06:46:00.000Z</t>
  </si>
  <si>
    <t>2026-04-11T00:03:32.000Z</t>
  </si>
  <si>
    <t>2016-03-25T06:26:00.000Z</t>
  </si>
  <si>
    <t>2016-03-29T11:28:00.000Z</t>
  </si>
  <si>
    <t>2026-04-11T00:02:07.000Z</t>
  </si>
  <si>
    <t>2016-03-21T18:36:00.000Z</t>
  </si>
  <si>
    <t>2016-03-18T00:32:00.000Z</t>
  </si>
  <si>
    <t>2026-04-11T00:34:22.000Z</t>
  </si>
  <si>
    <t>2016-03-30T10:47:00.000Z</t>
  </si>
  <si>
    <t>2026-04-11T00:00:58.000Z</t>
  </si>
  <si>
    <t>2016-03-01T21:19:00.000Z</t>
  </si>
  <si>
    <t>2026-04-11T00:01:08.000Z</t>
  </si>
  <si>
    <t>2016-01-08T19:03:00.000Z</t>
  </si>
  <si>
    <t>2026-04-11T00:04:16.000Z</t>
  </si>
  <si>
    <t>2016-03-01T17:04:00.000Z</t>
  </si>
  <si>
    <t>2026-04-11T00:10:10.000Z</t>
  </si>
  <si>
    <t>2016-03-01T16:59:00.000Z</t>
  </si>
  <si>
    <t>2016-03-02T21:29:00.000Z</t>
  </si>
  <si>
    <t>2026-04-11T00:02:05.000Z</t>
  </si>
  <si>
    <t>2016-03-02T21:33:00.000Z</t>
  </si>
  <si>
    <t>2026-04-11T00:07:48.000Z</t>
  </si>
  <si>
    <t>2016-03-23T21:06:00.000Z</t>
  </si>
  <si>
    <t>2016-01-26T09:40:00.000Z</t>
  </si>
  <si>
    <t>2016-02-11T07:04:00.000Z</t>
  </si>
  <si>
    <t>2016-02-18T05:26:00.000Z</t>
  </si>
  <si>
    <t>2016-02-18T15:46:00.000Z</t>
  </si>
  <si>
    <t>2026-04-11T00:01:00.000Z</t>
  </si>
  <si>
    <t>2016-02-24T11:36:00.000Z</t>
  </si>
  <si>
    <t>2016-03-18T13:42:00.000Z</t>
  </si>
  <si>
    <t>2026-04-11T00:29:21.000Z</t>
  </si>
  <si>
    <t>2016-03-18T13:55:00.000Z</t>
  </si>
  <si>
    <t>2016-02-10T21:46:00.000Z</t>
  </si>
  <si>
    <t>2016-03-20T17:49:00.000Z</t>
  </si>
  <si>
    <t>2026-04-11T00:14:44.000Z</t>
  </si>
  <si>
    <t>2016-02-23T13:18:00.000Z</t>
  </si>
  <si>
    <t>2016-02-13T03:05:00.000Z</t>
  </si>
  <si>
    <t>2026-04-11T00:02:55.000Z</t>
  </si>
  <si>
    <t>2016-02-14T14:01:00.000Z</t>
  </si>
  <si>
    <t>2026-04-11T00:16:48.000Z</t>
  </si>
  <si>
    <t>2016-02-10T16:07:00.000Z</t>
  </si>
  <si>
    <t>2016-03-23T19:33:00.000Z</t>
  </si>
  <si>
    <t>2026-04-11T00:06:26.000Z</t>
  </si>
  <si>
    <t>2016-01-11T18:06:00.000Z</t>
  </si>
  <si>
    <t>2026-04-11T00:05:57.000Z</t>
  </si>
  <si>
    <t>2016-01-11T17:33:00.000Z</t>
  </si>
  <si>
    <t>2026-04-11T00:02:48.000Z</t>
  </si>
  <si>
    <t>2016-03-05T19:29:00.000Z</t>
  </si>
  <si>
    <t>2026-04-11T00:02:12.000Z</t>
  </si>
  <si>
    <t>2016-03-20T19:58:00.000Z</t>
  </si>
  <si>
    <t>2026-04-11T00:08:26.000Z</t>
  </si>
  <si>
    <t>2016-02-27T14:54:00.000Z</t>
  </si>
  <si>
    <t>2016-02-27T15:14:00.000Z</t>
  </si>
  <si>
    <t>2016-02-27T18:06:00.000Z</t>
  </si>
  <si>
    <t>2016-03-03T08:11:00.000Z</t>
  </si>
  <si>
    <t>2026-04-11T00:01:19.000Z</t>
  </si>
  <si>
    <t>2016-01-01T08:59:00.000Z</t>
  </si>
  <si>
    <t>2026-04-11T00:00:39.000Z</t>
  </si>
  <si>
    <t>2016-01-01T09:02:00.000Z</t>
  </si>
  <si>
    <t>2026-04-11T00:01:57.000Z</t>
  </si>
  <si>
    <t>2016-01-01T19:29:00.000Z</t>
  </si>
  <si>
    <t>2016-03-23T13:09:00.000Z</t>
  </si>
  <si>
    <t>2026-04-11T00:01:15.000Z</t>
  </si>
  <si>
    <t>2016-02-06T21:26:00.000Z</t>
  </si>
  <si>
    <t>2016-02-27T11:32:00.000Z</t>
  </si>
  <si>
    <t>2016-03-07T05:54:00.000Z</t>
  </si>
  <si>
    <t>2026-04-11T00:04:14.000Z</t>
  </si>
  <si>
    <t>2016-03-01T08:27:00.000Z</t>
  </si>
  <si>
    <t>2026-04-11T00:02:38.000Z</t>
  </si>
  <si>
    <t>2016-01-15T18:12:00.000Z</t>
  </si>
  <si>
    <t>2016-03-30T07:53:00.000Z</t>
  </si>
  <si>
    <t>2016-03-12T22:45:00.000Z</t>
  </si>
  <si>
    <t>2016-03-30T13:56:00.000Z</t>
  </si>
  <si>
    <t>2026-04-11T00:03:41.000Z</t>
  </si>
  <si>
    <t>2016-02-20T08:53:00.000Z</t>
  </si>
  <si>
    <t>2026-04-11T00:00:29.000Z</t>
  </si>
  <si>
    <t>2016-02-15T19:52:00.000Z</t>
  </si>
  <si>
    <t>2026-04-11T00:00:23.000Z</t>
  </si>
  <si>
    <t>2016-03-02T12:21:00.000Z</t>
  </si>
  <si>
    <t>2026-04-11T00:00:25.000Z</t>
  </si>
  <si>
    <t>2016-02-14T09:56:00.000Z</t>
  </si>
  <si>
    <t>2026-04-11T00:01:10.000Z</t>
  </si>
  <si>
    <t>2016-03-09T10:24:00.000Z</t>
  </si>
  <si>
    <t>2016-02-13T21:58:00.000Z</t>
  </si>
  <si>
    <t>2016-01-22T18:30:00.000Z</t>
  </si>
  <si>
    <t>2026-04-11T00:02:37.000Z</t>
  </si>
  <si>
    <t>2016-02-18T15:25:00.000Z</t>
  </si>
  <si>
    <t>2016-02-18T15:02:00.000Z</t>
  </si>
  <si>
    <t>2026-04-11T00:00:04.000Z</t>
  </si>
  <si>
    <t>2016-02-18T07:57:00.000Z</t>
  </si>
  <si>
    <t>2016-02-20T16:29:00.000Z</t>
  </si>
  <si>
    <t>2026-04-11T00:05:38.000Z</t>
  </si>
  <si>
    <t>2016-03-03T20:08:00.000Z</t>
  </si>
  <si>
    <t>2016-02-18T06:24:00.000Z</t>
  </si>
  <si>
    <t>2016-02-18T09:37:00.000Z</t>
  </si>
  <si>
    <t>2016-02-18T16:49:00.000Z</t>
  </si>
  <si>
    <t>2026-04-11T00:00:16.000Z</t>
  </si>
  <si>
    <t>2016-03-06T16:41:00.000Z</t>
  </si>
  <si>
    <t>2026-04-11T00:11:20.000Z</t>
  </si>
  <si>
    <t>2016-03-03T06:23:00.000Z</t>
  </si>
  <si>
    <t>2026-04-11T00:00:22.000Z</t>
  </si>
  <si>
    <t>2016-03-27T12:37:00.000Z</t>
  </si>
  <si>
    <t>2026-04-11T00:04:54.000Z</t>
  </si>
  <si>
    <t>2016-03-21T09:49:00.000Z</t>
  </si>
  <si>
    <t>2026-04-11T00:06:00.000Z</t>
  </si>
  <si>
    <t>2016-03-30T10:40:00.000Z</t>
  </si>
  <si>
    <t>2016-02-06T13:10:00.000Z</t>
  </si>
  <si>
    <t>2016-03-06T23:22:00.000Z</t>
  </si>
  <si>
    <t>2016-03-28T22:22:00.000Z</t>
  </si>
  <si>
    <t>2016-03-25T00:59:00.000Z</t>
  </si>
  <si>
    <t>2026-04-11T00:01:23.000Z</t>
  </si>
  <si>
    <t>2016-03-26T15:21:00.000Z</t>
  </si>
  <si>
    <t>2026-04-11T00:10:45.000Z</t>
  </si>
  <si>
    <t>2016-03-03T13:22:00.000Z</t>
  </si>
  <si>
    <t>2016-03-08T19:51:00.000Z</t>
  </si>
  <si>
    <t>2016-03-16T00:32:00.000Z</t>
  </si>
  <si>
    <t>2026-04-11T00:02:32.000Z</t>
  </si>
  <si>
    <t>2016-01-08T23:02:00.000Z</t>
  </si>
  <si>
    <t>2016-01-08T23:13:00.000Z</t>
  </si>
  <si>
    <t>2016-03-28T08:07:00.000Z</t>
  </si>
  <si>
    <t>2026-04-11T00:07:27.000Z</t>
  </si>
  <si>
    <t>2016-03-27T07:10:00.000Z</t>
  </si>
  <si>
    <t>2016-02-05T12:14:00.000Z</t>
  </si>
  <si>
    <t>2016-02-26T15:14:00.000Z</t>
  </si>
  <si>
    <t>2016-02-15T07:24:00.000Z</t>
  </si>
  <si>
    <t>2016-02-24T11:54:00.000Z</t>
  </si>
  <si>
    <t>2016-01-12T17:23:00.000Z</t>
  </si>
  <si>
    <t>2026-04-11T00:02:06.000Z</t>
  </si>
  <si>
    <t>2016-01-28T11:45:00.000Z</t>
  </si>
  <si>
    <t>2016-01-03T16:58:00.000Z</t>
  </si>
  <si>
    <t>2026-04-11T00:04:11.000Z</t>
  </si>
  <si>
    <t>2016-01-21T19:19:00.000Z</t>
  </si>
  <si>
    <t>2026-04-11T00:02:36.000Z</t>
  </si>
  <si>
    <t>2016-02-03T14:04:00.000Z</t>
  </si>
  <si>
    <t>2026-04-11T00:00:30.000Z</t>
  </si>
  <si>
    <t>2016-01-01T16:43:00.000Z</t>
  </si>
  <si>
    <t>2026-04-11T01:28:33.000Z</t>
  </si>
  <si>
    <t>2016-01-02T17:59:00.000Z</t>
  </si>
  <si>
    <t>2016-01-04T19:01:00.000Z</t>
  </si>
  <si>
    <t>2026-04-11T00:05:36.000Z</t>
  </si>
  <si>
    <t>2016-01-04T09:31:00.000Z</t>
  </si>
  <si>
    <t>2026-04-11T00:03:45.000Z</t>
  </si>
  <si>
    <t>2016-01-04T12:21:00.000Z</t>
  </si>
  <si>
    <t>2016-01-01T07:32:00.000Z</t>
  </si>
  <si>
    <t>2026-04-11T00:49:11.000Z</t>
  </si>
  <si>
    <t>2016-01-03T17:00:00.000Z</t>
  </si>
  <si>
    <t>2016-03-23T13:03:00.000Z</t>
  </si>
  <si>
    <t>2016-03-13T12:57:00.000Z</t>
  </si>
  <si>
    <t>2016-03-13T10:55:00.000Z</t>
  </si>
  <si>
    <t>2016-03-31T19:35:00.000Z</t>
  </si>
  <si>
    <t>2016-01-28T20:49:00.000Z</t>
  </si>
  <si>
    <t>2026-04-11T00:24:51.000Z</t>
  </si>
  <si>
    <t>2016-01-07T01:00:00.000Z</t>
  </si>
  <si>
    <t>2026-04-11T00:08:36.000Z</t>
  </si>
  <si>
    <t>2016-02-21T19:13:00.000Z</t>
  </si>
  <si>
    <t>2016-02-20T15:26:00.000Z</t>
  </si>
  <si>
    <t>2016-02-20T19:14:00.000Z</t>
  </si>
  <si>
    <t>2026-04-11T00:09:10.000Z</t>
  </si>
  <si>
    <t>2016-03-02T11:10:00.000Z</t>
  </si>
  <si>
    <t>2026-04-11T00:17:16.000Z</t>
  </si>
  <si>
    <t>2016-02-21T15:56:00.000Z</t>
  </si>
  <si>
    <t>2026-04-11T00:14:51.000Z</t>
  </si>
  <si>
    <t>2016-02-24T20:21:00.000Z</t>
  </si>
  <si>
    <t>2016-02-24T12:38:00.000Z</t>
  </si>
  <si>
    <t>2016-03-01T20:49:00.000Z</t>
  </si>
  <si>
    <t>2026-04-11T00:05:18.000Z</t>
  </si>
  <si>
    <t>2016-03-05T20:37:00.000Z</t>
  </si>
  <si>
    <t>2026-04-11T00:05:06.000Z</t>
  </si>
  <si>
    <t>2016-03-31T22:16:00.000Z</t>
  </si>
  <si>
    <t>2016-01-25T06:11:00.000Z</t>
  </si>
  <si>
    <t>2026-04-11T00:03:35.000Z</t>
  </si>
  <si>
    <t>2016-01-24T16:16:00.000Z</t>
  </si>
  <si>
    <t>2016-03-28T01:23:00.000Z</t>
  </si>
  <si>
    <t>2016-03-28T15:14:00.000Z</t>
  </si>
  <si>
    <t>2026-04-11T00:00:19.000Z</t>
  </si>
  <si>
    <t>2016-03-30T15:29:00.000Z</t>
  </si>
  <si>
    <t>2016-03-08T12:27:00.000Z</t>
  </si>
  <si>
    <t>2026-04-11T00:03:48.000Z</t>
  </si>
  <si>
    <t>2016-02-02T08:11:00.000Z</t>
  </si>
  <si>
    <t>2026-04-11T00:24:00.000Z</t>
  </si>
  <si>
    <t>2016-02-20T03:51:00.000Z</t>
  </si>
  <si>
    <t>2026-04-11T00:06:59.000Z</t>
  </si>
  <si>
    <t>2016-02-22T18:24:00.000Z</t>
  </si>
  <si>
    <t>2016-02-16T17:45:00.000Z</t>
  </si>
  <si>
    <t>2026-04-11T00:01:21.000Z</t>
  </si>
  <si>
    <t>2026-04-11T00:00:53.000Z</t>
  </si>
  <si>
    <t>2016-03-20T12:36:00.000Z</t>
  </si>
  <si>
    <t>2026-04-11T00:02:09.000Z</t>
  </si>
  <si>
    <t>2016-03-20T12:44:00.000Z</t>
  </si>
  <si>
    <t>2016-03-31T23:12:00.000Z</t>
  </si>
  <si>
    <t>2026-04-11T00:59:00.000Z</t>
  </si>
  <si>
    <t>2016-03-31T23:22:00.000Z</t>
  </si>
  <si>
    <t>2016-03-16T19:07:00.000Z</t>
  </si>
  <si>
    <t>2016-03-31T22:46:00.000Z</t>
  </si>
  <si>
    <t>2016-02-18T10:55:00.000Z</t>
  </si>
  <si>
    <t>2016-02-15T21:55:00.000Z</t>
  </si>
  <si>
    <t>2026-04-11T00:04:04.000Z</t>
  </si>
  <si>
    <t>2016-02-24T14:14:00.000Z</t>
  </si>
  <si>
    <t>2016-02-18T08:44:00.000Z</t>
  </si>
  <si>
    <t>2016-02-06T08:42:00.000Z</t>
  </si>
  <si>
    <t>2026-04-11T00:19:10.000Z</t>
  </si>
  <si>
    <t>2016-03-06T11:16:00.000Z</t>
  </si>
  <si>
    <t>2016-02-09T20:54:00.000Z</t>
  </si>
  <si>
    <t>2016-02-11T21:21:00.000Z</t>
  </si>
  <si>
    <t>2016-01-19T17:29:00.000Z</t>
  </si>
  <si>
    <t>2016-03-13T12:06:00.000Z</t>
  </si>
  <si>
    <t>2026-04-11T00:10:02.000Z</t>
  </si>
  <si>
    <t>2016-03-13T18:22:00.000Z</t>
  </si>
  <si>
    <t>2026-04-11T00:34:06.000Z</t>
  </si>
  <si>
    <t>2016-01-19T22:29:00.000Z</t>
  </si>
  <si>
    <t>2026-04-11T01:16:40.000Z</t>
  </si>
  <si>
    <t>2016-03-23T10:40:00.000Z</t>
  </si>
  <si>
    <t>2026-04-11T00:37:25.000Z</t>
  </si>
  <si>
    <t>2016-03-19T22:17:00.000Z</t>
  </si>
  <si>
    <t>2016-01-27T21:25:00.000Z</t>
  </si>
  <si>
    <t>2016-03-20T15:54:00.000Z</t>
  </si>
  <si>
    <t>2016-03-20T16:40:00.000Z</t>
  </si>
  <si>
    <t>2026-04-11T01:48:38.000Z</t>
  </si>
  <si>
    <t>2016-02-23T06:06:00.000Z</t>
  </si>
  <si>
    <t>2016-03-24T06:14:00.000Z</t>
  </si>
  <si>
    <t>2016-02-11T21:05:00.000Z</t>
  </si>
  <si>
    <t>2016-02-09T16:10:00.000Z</t>
  </si>
  <si>
    <t>2016-03-03T10:06:00.000Z</t>
  </si>
  <si>
    <t>2026-04-11T00:02:03.000Z</t>
  </si>
  <si>
    <t>2016-03-08T12:47:00.000Z</t>
  </si>
  <si>
    <t>2026-04-11T00:55:44.000Z</t>
  </si>
  <si>
    <t>2016-01-12T21:58:00.000Z</t>
  </si>
  <si>
    <t>2016-01-13T18:40:00.000Z</t>
  </si>
  <si>
    <t>2016-01-11T22:00:00.000Z</t>
  </si>
  <si>
    <t>2026-04-11T00:14:20.000Z</t>
  </si>
  <si>
    <t>2016-03-08T21:53:00.000Z</t>
  </si>
  <si>
    <t>2026-04-11T00:24:57.000Z</t>
  </si>
  <si>
    <t>2016-03-10T20:00:00.000Z</t>
  </si>
  <si>
    <t>2026-04-11T00:23:36.000Z</t>
  </si>
  <si>
    <t>2016-03-10T21:04:00.000Z</t>
  </si>
  <si>
    <t>2016-02-18T20:28:00.000Z</t>
  </si>
  <si>
    <t>2016-02-07T15:41:00.000Z</t>
  </si>
  <si>
    <t>2026-04-11T00:04:53.000Z</t>
  </si>
  <si>
    <t>2016-02-07T22:15:00.000Z</t>
  </si>
  <si>
    <t>2026-04-11T00:01:36.000Z</t>
  </si>
  <si>
    <t>2016-01-26T16:16:00.000Z</t>
  </si>
  <si>
    <t>2016-03-30T21:19:00.000Z</t>
  </si>
  <si>
    <t>2016-03-25T16:23:00.000Z</t>
  </si>
  <si>
    <t>2026-04-11T00:03:10.000Z</t>
  </si>
  <si>
    <t>2016-03-17T12:13:00.000Z</t>
  </si>
  <si>
    <t>2016-03-30T19:50:00.000Z</t>
  </si>
  <si>
    <t>2026-04-11T00:12:08.000Z</t>
  </si>
  <si>
    <t>2016-01-27T15:54:00.000Z</t>
  </si>
  <si>
    <t>2026-04-11T00:01:27.000Z</t>
  </si>
  <si>
    <t>2016-01-27T11:52:00.000Z</t>
  </si>
  <si>
    <t>2016-01-25T12:07:00.000Z</t>
  </si>
  <si>
    <t>2026-04-11T00:07:30.000Z</t>
  </si>
  <si>
    <t>2016-01-26T21:30:00.000Z</t>
  </si>
  <si>
    <t>2016-03-23T09:31:00.000Z</t>
  </si>
  <si>
    <t>2026-04-11T00:10:28.000Z</t>
  </si>
  <si>
    <t>2016-03-18T13:13:00.000Z</t>
  </si>
  <si>
    <t>2026-04-11T00:04:06.000Z</t>
  </si>
  <si>
    <t>2016-02-24T16:56:00.000Z</t>
  </si>
  <si>
    <t>2016-02-24T21:43:00.000Z</t>
  </si>
  <si>
    <t>2026-04-11T00:05:07.000Z</t>
  </si>
  <si>
    <t>2016-02-27T11:07:00.000Z</t>
  </si>
  <si>
    <t>2026-04-11T00:18:34.000Z</t>
  </si>
  <si>
    <t>2016-03-02T17:30:00.000Z</t>
  </si>
  <si>
    <t>2016-03-23T22:07:00.000Z</t>
  </si>
  <si>
    <t>2026-04-11T00:04:42.000Z</t>
  </si>
  <si>
    <t>2016-03-26T06:50:00.000Z</t>
  </si>
  <si>
    <t>2016-03-26T22:57:00.000Z</t>
  </si>
  <si>
    <t>2026-04-11T00:05:28.000Z</t>
  </si>
  <si>
    <t>2016-03-30T15:51:00.000Z</t>
  </si>
  <si>
    <t>2026-04-11T00:08:21.000Z</t>
  </si>
  <si>
    <t>2016-03-31T10:09:00.000Z</t>
  </si>
  <si>
    <t>2026-04-11T01:25:30.000Z</t>
  </si>
  <si>
    <t>2016-03-30T17:22:00.000Z</t>
  </si>
  <si>
    <t>2016-03-29T23:33:00.000Z</t>
  </si>
  <si>
    <t>2016-03-09T06:51:00.000Z</t>
  </si>
  <si>
    <t>2026-04-11T00:01:11.000Z</t>
  </si>
  <si>
    <t>MK</t>
  </si>
  <si>
    <t>2016-03-12T02:19:00.000Z</t>
  </si>
  <si>
    <t>2016-02-26T23:25:00.000Z</t>
  </si>
  <si>
    <t>2016-02-26T23:47:00.000Z</t>
  </si>
  <si>
    <t>2026-04-11T00:10:58.000Z</t>
  </si>
  <si>
    <t>2016-03-06T00:03:00.000Z</t>
  </si>
  <si>
    <t>2026-04-11T00:07:39.000Z</t>
  </si>
  <si>
    <t>2016-03-01T07:01:00.000Z</t>
  </si>
  <si>
    <t>2026-04-11T00:29:03.000Z</t>
  </si>
  <si>
    <t>2016-03-31T16:52:00.000Z</t>
  </si>
  <si>
    <t>2026-04-11T00:09:00.000Z</t>
  </si>
  <si>
    <t>2016-01-21T14:05:00.000Z</t>
  </si>
  <si>
    <t>2016-03-15T15:31:00.000Z</t>
  </si>
  <si>
    <t>2016-03-01T18:03:00.000Z</t>
  </si>
  <si>
    <t>2016-02-11T13:39:00.000Z</t>
  </si>
  <si>
    <t>2026-04-11T00:09:04.000Z</t>
  </si>
  <si>
    <t>2016-02-10T21:55:00.000Z</t>
  </si>
  <si>
    <t>2026-04-11T00:01:50.000Z</t>
  </si>
  <si>
    <t>2016-01-01T20:54:00.000Z</t>
  </si>
  <si>
    <t>2026-04-11T00:02:04.000Z</t>
  </si>
  <si>
    <t>2016-01-22T15:02:00.000Z</t>
  </si>
  <si>
    <t>2026-04-11T00:01:26.000Z</t>
  </si>
  <si>
    <t>2016-01-18T14:43:00.000Z</t>
  </si>
  <si>
    <t>2026-04-11T00:00:09.000Z</t>
  </si>
  <si>
    <t>2016-01-22T16:42:00.000Z</t>
  </si>
  <si>
    <t>2016-03-28T15:22:00.000Z</t>
  </si>
  <si>
    <t>2016-03-30T20:57:00.000Z</t>
  </si>
  <si>
    <t>2016-03-26T11:08:00.000Z</t>
  </si>
  <si>
    <t>2026-04-11T00:07:53.000Z</t>
  </si>
  <si>
    <t>2016-02-19T23:17:00.000Z</t>
  </si>
  <si>
    <t>2016-02-19T23:22:00.000Z</t>
  </si>
  <si>
    <t>2016-02-06T17:00:00.000Z</t>
  </si>
  <si>
    <t>2026-04-11T00:04:52.000Z</t>
  </si>
  <si>
    <t>2016-02-22T21:30:00.000Z</t>
  </si>
  <si>
    <t>2026-04-11T02:59:03.000Z</t>
  </si>
  <si>
    <t>2016-03-11T19:13:00.000Z</t>
  </si>
  <si>
    <t>2016-02-06T18:08:00.000Z</t>
  </si>
  <si>
    <t>2016-01-17T17:21:00.000Z</t>
  </si>
  <si>
    <t>2026-04-11T00:02:01.000Z</t>
  </si>
  <si>
    <t>2016-02-15T22:41:00.000Z</t>
  </si>
  <si>
    <t>2016-03-10T22:10:00.000Z</t>
  </si>
  <si>
    <t>SuperSport Live Events</t>
  </si>
  <si>
    <t>2016-02-13T21:34:00.000Z</t>
  </si>
  <si>
    <t>2016-02-26T13:17:00.000Z</t>
  </si>
  <si>
    <t>2016-02-26T16:11:00.000Z</t>
  </si>
  <si>
    <t>2016-02-27T18:24:00.000Z</t>
  </si>
  <si>
    <t>2016-02-19T17:58:00.000Z</t>
  </si>
  <si>
    <t>2026-04-11T00:08:34.000Z</t>
  </si>
  <si>
    <t>2016-02-19T03:15:00.000Z</t>
  </si>
  <si>
    <t>2016-01-26T18:09:00.000Z</t>
  </si>
  <si>
    <t>2016-03-18T15:20:00.000Z</t>
  </si>
  <si>
    <t>2026-04-11T00:00:47.000Z</t>
  </si>
  <si>
    <t>2016-03-19T13:08:00.000Z</t>
  </si>
  <si>
    <t>2016-03-16T12:37:00.000Z</t>
  </si>
  <si>
    <t>2016-03-27T13:01:00.000Z</t>
  </si>
  <si>
    <t>2026-04-11T00:55:00.000Z</t>
  </si>
  <si>
    <t>2016-03-27T22:22:00.000Z</t>
  </si>
  <si>
    <t>2026-04-11T00:01:16.000Z</t>
  </si>
  <si>
    <t>2016-03-26T12:30:00.000Z</t>
  </si>
  <si>
    <t>2026-04-11T00:12:36.000Z</t>
  </si>
  <si>
    <t>2016-03-21T07:30:00.000Z</t>
  </si>
  <si>
    <t>2016-03-21T10:50:00.000Z</t>
  </si>
  <si>
    <t>2016-03-21T20:23:00.000Z</t>
  </si>
  <si>
    <t>2016-02-06T11:28:00.000Z</t>
  </si>
  <si>
    <t>2016-02-20T15:41:00.000Z</t>
  </si>
  <si>
    <t>2016-02-20T17:48:00.000Z</t>
  </si>
  <si>
    <t>2026-04-11T00:05:09.000Z</t>
  </si>
  <si>
    <t>2016-02-21T00:02:00.000Z</t>
  </si>
  <si>
    <t>2016-02-21T00:04:00.000Z</t>
  </si>
  <si>
    <t>2026-04-11T01:59:48.000Z</t>
  </si>
  <si>
    <t>2016-01-21T11:02:00.000Z</t>
  </si>
  <si>
    <t>2016-03-05T13:37:00.000Z</t>
  </si>
  <si>
    <t>2016-03-16T13:31:00.000Z</t>
  </si>
  <si>
    <t>2016-02-24T10:47:00.000Z</t>
  </si>
  <si>
    <t>2016-02-21T20:18:00.000Z</t>
  </si>
  <si>
    <t>2016-02-14T13:54:00.000Z</t>
  </si>
  <si>
    <t>2026-04-11T00:02:22.000Z</t>
  </si>
  <si>
    <t>2016-03-24T03:41:00.000Z</t>
  </si>
  <si>
    <t>2026-04-11T00:49:27.000Z</t>
  </si>
  <si>
    <t>2016-01-23T08:03:00.000Z</t>
  </si>
  <si>
    <t>2026-04-11T00:32:29.000Z</t>
  </si>
  <si>
    <t>2016-03-04T23:35:00.000Z</t>
  </si>
  <si>
    <t>2016-01-30T13:41:00.000Z</t>
  </si>
  <si>
    <t>2026-04-11T00:10:41.000Z</t>
  </si>
  <si>
    <t>2016-01-28T22:21:00.000Z</t>
  </si>
  <si>
    <t>2016-01-17T09:44:00.000Z</t>
  </si>
  <si>
    <t>2016-03-07T12:18:00.000Z</t>
  </si>
  <si>
    <t>2026-04-11T00:02:57.000Z</t>
  </si>
  <si>
    <t>2016-03-19T21:09:00.000Z</t>
  </si>
  <si>
    <t>2016-03-19T21:11:00.000Z</t>
  </si>
  <si>
    <t>2026-04-11T00:02:18.000Z</t>
  </si>
  <si>
    <t>2016-03-31T19:51:00.000Z</t>
  </si>
  <si>
    <t>2026-04-11T00:32:21.000Z</t>
  </si>
  <si>
    <t>2016-03-20T15:51:00.000Z</t>
  </si>
  <si>
    <t>2016-03-20T19:23:00.000Z</t>
  </si>
  <si>
    <t>2016-03-28T18:19:00.000Z</t>
  </si>
  <si>
    <t>2016-03-28T12:45:00.000Z</t>
  </si>
  <si>
    <t>2016-03-30T13:30:00.000Z</t>
  </si>
  <si>
    <t>2016-03-24T08:57:00.000Z</t>
  </si>
  <si>
    <t>2026-04-11T00:07:45.000Z</t>
  </si>
  <si>
    <t>2016-03-21T09:30:00.000Z</t>
  </si>
  <si>
    <t>2016-03-12T17:45:00.000Z</t>
  </si>
  <si>
    <t>2026-04-11T00:08:44.000Z</t>
  </si>
  <si>
    <t>2016-03-14T10:49:00.000Z</t>
  </si>
  <si>
    <t>2026-04-11T00:08:08.000Z</t>
  </si>
  <si>
    <t>2016-03-15T11:50:00.000Z</t>
  </si>
  <si>
    <t>2026-04-11T00:42:08.000Z</t>
  </si>
  <si>
    <t>2016-03-12T18:05:00.000Z</t>
  </si>
  <si>
    <t>2026-04-11T00:06:15.000Z</t>
  </si>
  <si>
    <t>2016-02-05T07:40:00.000Z</t>
  </si>
  <si>
    <t>2026-04-11T00:19:06.000Z</t>
  </si>
  <si>
    <t>2016-03-02T00:04:00.000Z</t>
  </si>
  <si>
    <t>2026-04-11T00:05:12.000Z</t>
  </si>
  <si>
    <t>2016-03-13T09:08:00.000Z</t>
  </si>
  <si>
    <t>2016-03-13T23:05:00.000Z</t>
  </si>
  <si>
    <t>2016-01-31T18:42:00.000Z</t>
  </si>
  <si>
    <t>2016-01-17T18:56:00.000Z</t>
  </si>
  <si>
    <t>2026-04-11T00:01:20.000Z</t>
  </si>
  <si>
    <t>2016-01-22T16:14:00.000Z</t>
  </si>
  <si>
    <t>2016-01-30T21:20:00.000Z</t>
  </si>
  <si>
    <t>2026-04-11T00:01:59.000Z</t>
  </si>
  <si>
    <t>2016-01-18T18:12:00.000Z</t>
  </si>
  <si>
    <t>2016-03-31T19:57:00.000Z</t>
  </si>
  <si>
    <t>2016-02-13T02:19:00.000Z</t>
  </si>
  <si>
    <t>2016-01-18T23:54:00.000Z</t>
  </si>
  <si>
    <t>2016-01-19T00:04:00.000Z</t>
  </si>
  <si>
    <t>2026-04-11T00:10:03.000Z</t>
  </si>
  <si>
    <t>2016-01-22T16:13:00.000Z</t>
  </si>
  <si>
    <t>2026-04-11T00:02:10.000Z</t>
  </si>
  <si>
    <t>2016-03-30T14:48:00.000Z</t>
  </si>
  <si>
    <t>2016-02-21T11:10:00.000Z</t>
  </si>
  <si>
    <t>2016-02-26T13:53:00.000Z</t>
  </si>
  <si>
    <t>2016-02-26T16:01:00.000Z</t>
  </si>
  <si>
    <t>2026-04-11T00:30:06.000Z</t>
  </si>
  <si>
    <t>2016-03-24T18:51:00.000Z</t>
  </si>
  <si>
    <t>2026-04-11T00:05:44.000Z</t>
  </si>
  <si>
    <t>2016-03-19T14:05:00.000Z</t>
  </si>
  <si>
    <t>2016-02-28T12:24:00.000Z</t>
  </si>
  <si>
    <t>2016-03-01T18:28:00.000Z</t>
  </si>
  <si>
    <t>2026-04-11T00:02:24.000Z</t>
  </si>
  <si>
    <t>2016-02-13T19:53:00.000Z</t>
  </si>
  <si>
    <t>2016-02-13T19:56:00.000Z</t>
  </si>
  <si>
    <t>2026-04-11T00:15:24.000Z</t>
  </si>
  <si>
    <t>2016-03-25T10:20:00.000Z</t>
  </si>
  <si>
    <t>2016-03-26T14:38:00.000Z</t>
  </si>
  <si>
    <t>2016-03-29T18:58:00.000Z</t>
  </si>
  <si>
    <t>2026-04-11T00:04:21.000Z</t>
  </si>
  <si>
    <t>2016-03-03T17:46:00.000Z</t>
  </si>
  <si>
    <t>2026-04-11T00:00:31.000Z</t>
  </si>
  <si>
    <t>2016-03-05T21:35:00.000Z</t>
  </si>
  <si>
    <t>2016-02-19T12:41:00.000Z</t>
  </si>
  <si>
    <t>2016-02-19T20:27:00.000Z</t>
  </si>
  <si>
    <t>2026-04-11T00:06:03.000Z</t>
  </si>
  <si>
    <t>2016-03-22T06:33:00.000Z</t>
  </si>
  <si>
    <t>2026-04-11T00:19:45.000Z</t>
  </si>
  <si>
    <t>2016-02-25T07:24:00.000Z</t>
  </si>
  <si>
    <t>2016-01-27T08:12:00.000Z</t>
  </si>
  <si>
    <t>2016-02-01T06:54:00.000Z</t>
  </si>
  <si>
    <t>2016-03-20T22:39:00.000Z</t>
  </si>
  <si>
    <t>2026-04-11T00:02:21.000Z</t>
  </si>
  <si>
    <t>2016-03-08T14:48:00.000Z</t>
  </si>
  <si>
    <t>2016-03-09T07:31:00.000Z</t>
  </si>
  <si>
    <t>2016-03-16T18:28:00.000Z</t>
  </si>
  <si>
    <t>2016-02-25T23:38:00.000Z</t>
  </si>
  <si>
    <t>2026-04-11T01:29:54.000Z</t>
  </si>
  <si>
    <t>2016-03-07T23:45:00.000Z</t>
  </si>
  <si>
    <t>2026-04-11T00:11:30.000Z</t>
  </si>
  <si>
    <t>2016-03-30T09:28:00.000Z</t>
  </si>
  <si>
    <t>2016-03-27T23:39:00.000Z</t>
  </si>
  <si>
    <t>2026-04-11T00:01:29.000Z</t>
  </si>
  <si>
    <t>2016-03-29T17:54:00.000Z</t>
  </si>
  <si>
    <t>2026-04-11T00:12:33.000Z</t>
  </si>
  <si>
    <t>2016-02-07T16:10:00.000Z</t>
  </si>
  <si>
    <t>2026-04-11T00:10:04.000Z</t>
  </si>
  <si>
    <t>2016-01-31T16:20:00.000Z</t>
  </si>
  <si>
    <t>2026-04-11T00:00:01.000Z</t>
  </si>
  <si>
    <t>2016-01-31T19:32:00.000Z</t>
  </si>
  <si>
    <t>2016-02-19T09:18:00.000Z</t>
  </si>
  <si>
    <t>2016-01-03T22:34:00.000Z</t>
  </si>
  <si>
    <t>2016-01-05T07:06:00.000Z</t>
  </si>
  <si>
    <t>2016-03-04T09:17:00.000Z</t>
  </si>
  <si>
    <t>2016-03-12T22:20:00.000Z</t>
  </si>
  <si>
    <t>2016-03-10T04:28:00.000Z</t>
  </si>
  <si>
    <t>2016-01-31T13:28:00.000Z</t>
  </si>
  <si>
    <t>2016-02-07T19:54:00.000Z</t>
  </si>
  <si>
    <t>2016-01-29T14:37:00.000Z</t>
  </si>
  <si>
    <t>2016-01-31T15:03:00.000Z</t>
  </si>
  <si>
    <t>2026-04-11T00:37:36.000Z</t>
  </si>
  <si>
    <t>2016-02-06T08:14:00.000Z</t>
  </si>
  <si>
    <t>2026-04-11T00:03:31.000Z</t>
  </si>
  <si>
    <t>2016-02-06T16:08:00.000Z</t>
  </si>
  <si>
    <t>Northern Cape</t>
  </si>
  <si>
    <t>2026-04-11T00:02:35.000Z</t>
  </si>
  <si>
    <t>2016-01-29T21:43:00.000Z</t>
  </si>
  <si>
    <t>2026-04-11T00:13:58.000Z</t>
  </si>
  <si>
    <t>2016-01-31T20:38:00.000Z</t>
  </si>
  <si>
    <t>2026-04-11T00:08:33.000Z</t>
  </si>
  <si>
    <t>2016-01-26T23:50:00.000Z</t>
  </si>
  <si>
    <t>2016-02-16T01:54:00.000Z</t>
  </si>
  <si>
    <t>2016-02-16T15:23:00.000Z</t>
  </si>
  <si>
    <t>2026-04-11T00:28:02.000Z</t>
  </si>
  <si>
    <t>2016-03-24T15:44:00.000Z</t>
  </si>
  <si>
    <t>2026-04-11T00:39:48.000Z</t>
  </si>
  <si>
    <t>2016-01-09T17:41:00.000Z</t>
  </si>
  <si>
    <t>2016-03-07T18:00:00.000Z</t>
  </si>
  <si>
    <t>2026-04-11T00:13:30.000Z</t>
  </si>
  <si>
    <t>2016-03-11T08:29:00.000Z</t>
  </si>
  <si>
    <t>2016-03-12T08:57:00.000Z</t>
  </si>
  <si>
    <t>2026-04-11T00:01:40.000Z</t>
  </si>
  <si>
    <t>2016-03-12T19:12:00.000Z</t>
  </si>
  <si>
    <t>2016-03-12T20:50:00.000Z</t>
  </si>
  <si>
    <t>2016-02-13T07:15:00.000Z</t>
  </si>
  <si>
    <t>2016-03-24T10:50:00.000Z</t>
  </si>
  <si>
    <t>2026-04-11T00:12:21.000Z</t>
  </si>
  <si>
    <t>2016-03-11T14:26:00.000Z</t>
  </si>
  <si>
    <t>2016-03-03T21:19:00.000Z</t>
  </si>
  <si>
    <t>2016-03-03T20:38:00.000Z</t>
  </si>
  <si>
    <t>2016-03-05T12:06:00.000Z</t>
  </si>
  <si>
    <t>2026-04-11T00:03:12.000Z</t>
  </si>
  <si>
    <t>2016-03-05T15:47:00.000Z</t>
  </si>
  <si>
    <t>2026-04-11T00:03:57.000Z</t>
  </si>
  <si>
    <t>2016-02-28T16:28:00.000Z</t>
  </si>
  <si>
    <t>2016-03-09T14:11:00.000Z</t>
  </si>
  <si>
    <t>2026-04-11T00:05:20.000Z</t>
  </si>
  <si>
    <t>2016-03-01T21:15:00.000Z</t>
  </si>
  <si>
    <t>2016-03-22T09:26:00.000Z</t>
  </si>
  <si>
    <t>2016-01-18T15:54:00.000Z</t>
  </si>
  <si>
    <t>2016-01-20T19:07:00.000Z</t>
  </si>
  <si>
    <t>2016-03-20T17:52:00.000Z</t>
  </si>
  <si>
    <t>2016-01-25T18:43:00.000Z</t>
  </si>
  <si>
    <t>2026-04-11T00:00:45.000Z</t>
  </si>
  <si>
    <t>2016-01-20T12:37:00.000Z</t>
  </si>
  <si>
    <t>2016-02-18T01:09:00.000Z</t>
  </si>
  <si>
    <t>2016-03-28T17:36:00.000Z</t>
  </si>
  <si>
    <t>2026-04-11T00:00:05.000Z</t>
  </si>
  <si>
    <t>2016-02-14T11:36:00.000Z</t>
  </si>
  <si>
    <t>2026-04-11T00:07:11.000Z</t>
  </si>
  <si>
    <t>2016-02-16T16:34:00.000Z</t>
  </si>
  <si>
    <t>2016-02-16T11:44:00.000Z</t>
  </si>
  <si>
    <t>2026-04-11T00:04:36.000Z</t>
  </si>
  <si>
    <t>2016-03-28T13:20:00.000Z</t>
  </si>
  <si>
    <t>2016-01-24T21:41:00.000Z</t>
  </si>
  <si>
    <t>2026-04-11T00:12:00.000Z</t>
  </si>
  <si>
    <t>2016-01-25T10:39:00.000Z</t>
  </si>
  <si>
    <t>2026-04-11T00:14:33.000Z</t>
  </si>
  <si>
    <t>2016-01-08T05:51:00.000Z</t>
  </si>
  <si>
    <t>2016-01-22T05:48:00.000Z</t>
  </si>
  <si>
    <t>2016-01-18T07:37:00.000Z</t>
  </si>
  <si>
    <t>2016-02-20T07:28:00.000Z</t>
  </si>
  <si>
    <t>2016-02-20T16:30:00.000Z</t>
  </si>
  <si>
    <t>2016-02-21T20:34:00.000Z</t>
  </si>
  <si>
    <t>2026-04-11T00:58:30.000Z</t>
  </si>
  <si>
    <t>2016-02-19T15:27:00.000Z</t>
  </si>
  <si>
    <t>2026-04-11T00:06:32.000Z</t>
  </si>
  <si>
    <t>2016-02-25T12:31:00.000Z</t>
  </si>
  <si>
    <t>2026-04-11T00:04:34.000Z</t>
  </si>
  <si>
    <t>2016-02-25T09:54:00.000Z</t>
  </si>
  <si>
    <t>2016-02-27T12:18:00.000Z</t>
  </si>
  <si>
    <t>2016-03-15T10:53:00.000Z</t>
  </si>
  <si>
    <t>2016-02-06T21:20:00.000Z</t>
  </si>
  <si>
    <t>2016-03-13T10:41:00.000Z</t>
  </si>
  <si>
    <t>2016-03-29T18:07:00.000Z</t>
  </si>
  <si>
    <t>2016-02-19T11:08:00.000Z</t>
  </si>
  <si>
    <t>2016-01-31T11:46:00.000Z</t>
  </si>
  <si>
    <t>2026-04-11T00:39:16.000Z</t>
  </si>
  <si>
    <t>2016-01-23T12:34:00.000Z</t>
  </si>
  <si>
    <t>2016-03-28T17:34:00.000Z</t>
  </si>
  <si>
    <t>2016-03-28T18:27:00.000Z</t>
  </si>
  <si>
    <t>2016-03-25T00:49:00.000Z</t>
  </si>
  <si>
    <t>2016-02-20T06:16:00.000Z</t>
  </si>
  <si>
    <t>2026-04-11T00:38:48.000Z</t>
  </si>
  <si>
    <t>2016-02-19T06:30:00.000Z</t>
  </si>
  <si>
    <t>2016-02-05T08:49:00.000Z</t>
  </si>
  <si>
    <t>2016-02-24T10:37:00.000Z</t>
  </si>
  <si>
    <t>2016-01-30T18:54:00.000Z</t>
  </si>
  <si>
    <t>2016-01-29T21:48:00.000Z</t>
  </si>
  <si>
    <t>2026-04-11T00:09:28.000Z</t>
  </si>
  <si>
    <t>2016-01-28T18:26:00.000Z</t>
  </si>
  <si>
    <t>2016-02-06T13:34:00.000Z</t>
  </si>
  <si>
    <t>2016-02-23T18:55:00.000Z</t>
  </si>
  <si>
    <t>2016-03-24T18:59:00.000Z</t>
  </si>
  <si>
    <t>2026-04-11T00:01:45.000Z</t>
  </si>
  <si>
    <t>2016-03-24T08:36:00.000Z</t>
  </si>
  <si>
    <t>2026-04-11T00:06:21.000Z</t>
  </si>
  <si>
    <t>2016-03-28T12:53:00.000Z</t>
  </si>
  <si>
    <t>2026-04-11T00:10:27.000Z</t>
  </si>
  <si>
    <t>2016-03-27T18:06:00.000Z</t>
  </si>
  <si>
    <t>2016-03-27T22:20:00.000Z</t>
  </si>
  <si>
    <t>2026-04-11T00:01:49.000Z</t>
  </si>
  <si>
    <t>2016-03-24T10:53:00.000Z</t>
  </si>
  <si>
    <t>2016-02-16T14:42:00.000Z</t>
  </si>
  <si>
    <t>2026-04-11T00:00:33.000Z</t>
  </si>
  <si>
    <t>2016-02-15T19:17:00.000Z</t>
  </si>
  <si>
    <t>2016-02-19T21:41:00.000Z</t>
  </si>
  <si>
    <t>2016-02-12T15:38:00.000Z</t>
  </si>
  <si>
    <t>2026-04-11T00:29:56.000Z</t>
  </si>
  <si>
    <t>2016-03-30T16:58:00.000Z</t>
  </si>
  <si>
    <t>2016-02-18T00:03:00.000Z</t>
  </si>
  <si>
    <t>2016-02-12T19:37:00.000Z</t>
  </si>
  <si>
    <t>2026-04-11T00:11:16.000Z</t>
  </si>
  <si>
    <t>2016-01-05T21:31:00.000Z</t>
  </si>
  <si>
    <t>2016-01-10T19:51:00.000Z</t>
  </si>
  <si>
    <t>2016-01-14T12:03:00.000Z</t>
  </si>
  <si>
    <t>2016-01-23T12:07:00.000Z</t>
  </si>
  <si>
    <t>2016-02-25T18:11:00.000Z</t>
  </si>
  <si>
    <t>2016-03-15T10:58:00.000Z</t>
  </si>
  <si>
    <t>2026-04-11T00:11:09.000Z</t>
  </si>
  <si>
    <t>2016-02-10T08:38:00.000Z</t>
  </si>
  <si>
    <t>2016-02-19T23:28:00.000Z</t>
  </si>
  <si>
    <t>2016-02-27T11:56:00.000Z</t>
  </si>
  <si>
    <t>2026-04-11T00:03:26.000Z</t>
  </si>
  <si>
    <t>2016-03-26T06:45:00.000Z</t>
  </si>
  <si>
    <t>2016-01-27T17:43:00.000Z</t>
  </si>
  <si>
    <t>2026-04-11T00:07:59.000Z</t>
  </si>
  <si>
    <t>2016-01-21T16:52:00.000Z</t>
  </si>
  <si>
    <t>2026-04-11T00:08:52.000Z</t>
  </si>
  <si>
    <t>2016-01-31T12:54:00.000Z</t>
  </si>
  <si>
    <t>2016-01-29T17:31:00.000Z</t>
  </si>
  <si>
    <t>2026-04-11T00:28:51.000Z</t>
  </si>
  <si>
    <t>2016-03-31T22:49:00.000Z</t>
  </si>
  <si>
    <t>2026-04-11T00:03:04.000Z</t>
  </si>
  <si>
    <t>2016-03-22T08:04:00.000Z</t>
  </si>
  <si>
    <t>2026-04-11T01:04:03.000Z</t>
  </si>
  <si>
    <t>2016-03-05T18:01:00.000Z</t>
  </si>
  <si>
    <t>2016-02-27T11:08:00.000Z</t>
  </si>
  <si>
    <t>2016-02-28T13:57:00.000Z</t>
  </si>
  <si>
    <t>2016-03-28T11:58:00.000Z</t>
  </si>
  <si>
    <t>2016-03-26T19:25:00.000Z</t>
  </si>
  <si>
    <t>2016-03-06T21:42:00.000Z</t>
  </si>
  <si>
    <t>2016-03-06T22:14:00.000Z</t>
  </si>
  <si>
    <t>2016-03-06T22:37:00.000Z</t>
  </si>
  <si>
    <t>2026-04-11T00:08:38.000Z</t>
  </si>
  <si>
    <t>2016-03-05T11:28:00.000Z</t>
  </si>
  <si>
    <t>2016-03-15T17:13:00.000Z</t>
  </si>
  <si>
    <t>2016-03-29T17:41:00.000Z</t>
  </si>
  <si>
    <t>2026-04-11T00:09:13.000Z</t>
  </si>
  <si>
    <t>2016-03-09T15:36:00.000Z</t>
  </si>
  <si>
    <t>2016-03-03T21:55:00.000Z</t>
  </si>
  <si>
    <t>2026-04-11T00:22:24.000Z</t>
  </si>
  <si>
    <t>2016-03-04T00:58:00.000Z</t>
  </si>
  <si>
    <t>2016-03-04T10:23:00.000Z</t>
  </si>
  <si>
    <t>2026-04-11T00:04:48.000Z</t>
  </si>
  <si>
    <t>2016-03-04T23:31:00.000Z</t>
  </si>
  <si>
    <t>2026-04-11T00:01:51.000Z</t>
  </si>
  <si>
    <t>2016-03-05T22:20:00.000Z</t>
  </si>
  <si>
    <t>2016-03-24T19:03:00.000Z</t>
  </si>
  <si>
    <t>2016-03-20T17:27:00.000Z</t>
  </si>
  <si>
    <t>2016-03-30T10:49:00.000Z</t>
  </si>
  <si>
    <t>2016-03-12T10:50:00.000Z</t>
  </si>
  <si>
    <t>2016-02-14T05:14:00.000Z</t>
  </si>
  <si>
    <t>2016-02-18T11:20:00.000Z</t>
  </si>
  <si>
    <t>2016-02-25T12:37:00.000Z</t>
  </si>
  <si>
    <t>2016-03-06T17:47:00.000Z</t>
  </si>
  <si>
    <t>2016-03-04T21:34:00.000Z</t>
  </si>
  <si>
    <t>2026-04-11T02:09:56.000Z</t>
  </si>
  <si>
    <t>2016-03-30T13:07:00.000Z</t>
  </si>
  <si>
    <t>2016-03-15T09:30:00.000Z</t>
  </si>
  <si>
    <t>2026-04-11T00:07:34.000Z</t>
  </si>
  <si>
    <t>2016-03-15T15:53:00.000Z</t>
  </si>
  <si>
    <t>2016-03-23T20:55:00.000Z</t>
  </si>
  <si>
    <t>2016-03-27T14:24:00.000Z</t>
  </si>
  <si>
    <t>2026-04-11T00:31:06.000Z</t>
  </si>
  <si>
    <t>2016-01-18T15:58:00.000Z</t>
  </si>
  <si>
    <t>2016-02-28T10:25:00.000Z</t>
  </si>
  <si>
    <t>2016-02-23T14:09:00.000Z</t>
  </si>
  <si>
    <t>2026-04-11T00:28:28.000Z</t>
  </si>
  <si>
    <t>2016-01-01T16:03:00.000Z</t>
  </si>
  <si>
    <t>2016-01-09T20:03:00.000Z</t>
  </si>
  <si>
    <t>2026-04-11T00:12:51.000Z</t>
  </si>
  <si>
    <t>2016-01-14T18:16:00.000Z</t>
  </si>
  <si>
    <t>2026-04-11T00:19:34.000Z</t>
  </si>
  <si>
    <t>2016-03-29T10:55:00.000Z</t>
  </si>
  <si>
    <t>2016-03-29T12:42:00.000Z</t>
  </si>
  <si>
    <t>2016-01-17T21:43:00.000Z</t>
  </si>
  <si>
    <t>2026-04-11T00:31:10.000Z</t>
  </si>
  <si>
    <t>2016-01-29T18:37:00.000Z</t>
  </si>
  <si>
    <t>2016-01-18T17:16:00.000Z</t>
  </si>
  <si>
    <t>2026-04-11T00:12:53.000Z</t>
  </si>
  <si>
    <t>2016-01-15T13:02:00.000Z</t>
  </si>
  <si>
    <t>2016-01-16T09:57:00.000Z</t>
  </si>
  <si>
    <t>2026-04-11T00:35:27.000Z</t>
  </si>
  <si>
    <t>2016-01-22T12:21:00.000Z</t>
  </si>
  <si>
    <t>2026-04-11T00:01:54.000Z</t>
  </si>
  <si>
    <t>2016-01-20T09:52:00.000Z</t>
  </si>
  <si>
    <t>2026-04-11T00:20:42.000Z</t>
  </si>
  <si>
    <t>2016-01-16T17:42:00.000Z</t>
  </si>
  <si>
    <t>2026-04-11T00:07:50.000Z</t>
  </si>
  <si>
    <t>2016-03-03T07:39:00.000Z</t>
  </si>
  <si>
    <t>Pensioners</t>
  </si>
  <si>
    <t>2026-04-11T00:17:30.000Z</t>
  </si>
  <si>
    <t>2016-03-01T06:22:00.000Z</t>
  </si>
  <si>
    <t>2016-01-21T18:30:00.000Z</t>
  </si>
  <si>
    <t>2016-03-13T19:39:00.000Z</t>
  </si>
  <si>
    <t>2016-03-14T17:47:00.000Z</t>
  </si>
  <si>
    <t>2016-03-19T12:54:00.000Z</t>
  </si>
  <si>
    <t>2016-02-22T18:43:00.000Z</t>
  </si>
  <si>
    <t>2026-04-11T00:23:48.000Z</t>
  </si>
  <si>
    <t>2016-01-08T05:47:00.000Z</t>
  </si>
  <si>
    <t>2016-01-29T21:46:00.000Z</t>
  </si>
  <si>
    <t>2016-03-03T06:41:00.000Z</t>
  </si>
  <si>
    <t>2016-03-01T14:55:00.000Z</t>
  </si>
  <si>
    <t>2026-04-11T00:15:12.000Z</t>
  </si>
  <si>
    <t>2016-01-06T08:28:00.000Z</t>
  </si>
  <si>
    <t>2016-01-08T14:44:00.000Z</t>
  </si>
  <si>
    <t>2016-01-06T10:33:00.000Z</t>
  </si>
  <si>
    <t>2016-01-08T14:46:00.000Z</t>
  </si>
  <si>
    <t>2026-04-11T00:05:45.000Z</t>
  </si>
  <si>
    <t>2016-01-08T20:59:00.000Z</t>
  </si>
  <si>
    <t>2026-04-11T00:09:06.000Z</t>
  </si>
  <si>
    <t>2016-01-10T17:02:00.000Z</t>
  </si>
  <si>
    <t>2026-04-11T00:13:12.000Z</t>
  </si>
  <si>
    <t>2016-01-05T22:13:00.000Z</t>
  </si>
  <si>
    <t>2016-01-08T09:26:00.000Z</t>
  </si>
  <si>
    <t>2016-03-19T16:14:00.000Z</t>
  </si>
  <si>
    <t>2016-02-21T08:31:00.000Z</t>
  </si>
  <si>
    <t>2016-02-20T15:02:00.000Z</t>
  </si>
  <si>
    <t>2016-02-20T15:03:00.000Z</t>
  </si>
  <si>
    <t>2016-02-21T09:20:00.000Z</t>
  </si>
  <si>
    <t>2016-03-25T21:36:00.000Z</t>
  </si>
  <si>
    <t>2026-04-11T00:03:00.000Z</t>
  </si>
  <si>
    <t>2016-03-24T12:02:00.000Z</t>
  </si>
  <si>
    <t>2026-04-11T00:02:30.000Z</t>
  </si>
  <si>
    <t>2016-01-15T01:09:00.000Z</t>
  </si>
  <si>
    <t>2016-01-18T11:35:00.000Z</t>
  </si>
  <si>
    <t>2016-01-15T20:35:00.000Z</t>
  </si>
  <si>
    <t>2016-03-27T17:12:00.000Z</t>
  </si>
  <si>
    <t>2016-01-16T20:49:00.000Z</t>
  </si>
  <si>
    <t>2016-02-02T11:23:00.000Z</t>
  </si>
  <si>
    <t>2026-04-11T00:43:48.000Z</t>
  </si>
  <si>
    <t>2016-02-02T17:20:00.000Z</t>
  </si>
  <si>
    <t>2016-02-04T23:35:00.000Z</t>
  </si>
  <si>
    <t>2016-01-06T11:34:00.000Z</t>
  </si>
  <si>
    <t>2016-01-02T08:46:00.000Z</t>
  </si>
  <si>
    <t>2026-04-11T02:02:57.000Z</t>
  </si>
  <si>
    <t>2016-01-30T12:38:00.000Z</t>
  </si>
  <si>
    <t>2026-04-11T00:17:40.000Z</t>
  </si>
  <si>
    <t>2016-01-29T13:29:00.000Z</t>
  </si>
  <si>
    <t>2016-01-24T12:04:00.000Z</t>
  </si>
  <si>
    <t>2026-04-11T00:06:20.000Z</t>
  </si>
  <si>
    <t>2016-01-24T10:15:00.000Z</t>
  </si>
  <si>
    <t>2016-01-09T05:28:00.000Z</t>
  </si>
  <si>
    <t>2026-04-11T00:07:46.000Z</t>
  </si>
  <si>
    <t>2016-03-04T21:02:00.000Z</t>
  </si>
  <si>
    <t>2026-04-11T00:04:15.000Z</t>
  </si>
  <si>
    <t>2016-01-06T21:23:00.000Z</t>
  </si>
  <si>
    <t>2016-02-27T21:44:00.000Z</t>
  </si>
  <si>
    <t>2016-02-03T06:59:00.000Z</t>
  </si>
  <si>
    <t>2016-01-27T06:15:00.000Z</t>
  </si>
  <si>
    <t>2016-02-09T21:10:00.000Z</t>
  </si>
  <si>
    <t>2026-04-11T00:47:42.000Z</t>
  </si>
  <si>
    <t>2016-03-11T09:38:00.000Z</t>
  </si>
  <si>
    <t>2016-03-25T09:26:00.000Z</t>
  </si>
  <si>
    <t>2026-04-11T01:06:24.000Z</t>
  </si>
  <si>
    <t>2016-03-26T12:02:00.000Z</t>
  </si>
  <si>
    <t>2016-01-10T21:09:00.000Z</t>
  </si>
  <si>
    <t>2026-04-11T00:15:42.000Z</t>
  </si>
  <si>
    <t>2016-02-09T19:45:00.000Z</t>
  </si>
  <si>
    <t>2026-04-11T00:01:05.000Z</t>
  </si>
  <si>
    <t>2016-01-20T19:22:00.000Z</t>
  </si>
  <si>
    <t>2016-03-06T22:44:00.000Z</t>
  </si>
  <si>
    <t>2016-02-05T23:58:00.000Z</t>
  </si>
  <si>
    <t>2016-02-06T22:34:00.000Z</t>
  </si>
  <si>
    <t>2016-01-27T17:30:00.000Z</t>
  </si>
  <si>
    <t>2016-02-19T19:25:00.000Z</t>
  </si>
  <si>
    <t>2016-02-19T19:26:00.000Z</t>
  </si>
  <si>
    <t>2016-02-19T19:57:00.000Z</t>
  </si>
  <si>
    <t>2016-03-16T19:59:00.000Z</t>
  </si>
  <si>
    <t>2016-03-02T14:01:00.000Z</t>
  </si>
  <si>
    <t>2026-04-11T00:07:09.000Z</t>
  </si>
  <si>
    <t>2016-03-06T14:12:00.000Z</t>
  </si>
  <si>
    <t>2016-03-24T07:45:00.000Z</t>
  </si>
  <si>
    <t>2016-03-31T10:04:00.000Z</t>
  </si>
  <si>
    <t>2026-04-11T00:08:58.000Z</t>
  </si>
  <si>
    <t>2016-03-30T14:06:00.000Z</t>
  </si>
  <si>
    <t>2026-04-11T00:30:52.000Z</t>
  </si>
  <si>
    <t>2016-03-30T13:57:00.000Z</t>
  </si>
  <si>
    <t>2026-04-11T00:28:42.000Z</t>
  </si>
  <si>
    <t>2016-03-03T20:32:00.000Z</t>
  </si>
  <si>
    <t>2016-03-21T11:48:00.000Z</t>
  </si>
  <si>
    <t>2026-04-11T00:04:20.000Z</t>
  </si>
  <si>
    <t>2016-02-01T23:35:00.000Z</t>
  </si>
  <si>
    <t>2016-03-19T18:53:00.000Z</t>
  </si>
  <si>
    <t>2026-04-11T00:20:24.000Z</t>
  </si>
  <si>
    <t>2016-02-19T06:10:00.000Z</t>
  </si>
  <si>
    <t>2016-02-21T21:50:00.000Z</t>
  </si>
  <si>
    <t>2016-03-06T14:46:00.000Z</t>
  </si>
  <si>
    <t>2016-03-23T08:16:00.000Z</t>
  </si>
  <si>
    <t>2016-03-20T14:59:00.000Z</t>
  </si>
  <si>
    <t>2016-03-04T16:06:00.000Z</t>
  </si>
  <si>
    <t>2016-03-04T16:09:00.000Z</t>
  </si>
  <si>
    <t>2016-02-06T14:43:00.000Z</t>
  </si>
  <si>
    <t>2016-02-23T18:03:00.000Z</t>
  </si>
  <si>
    <t>2016-02-23T18:11:00.000Z</t>
  </si>
  <si>
    <t>2016-03-25T15:54:00.000Z</t>
  </si>
  <si>
    <t>2016-02-14T21:34:00.000Z</t>
  </si>
  <si>
    <t>2016-02-02T19:35:00.000Z</t>
  </si>
  <si>
    <t>2016-02-02T02:50:00.000Z</t>
  </si>
  <si>
    <t>2016-02-02T02:33:00.000Z</t>
  </si>
  <si>
    <t>2026-04-11T00:03:09.000Z</t>
  </si>
  <si>
    <t>2016-03-08T12:23:00.000Z</t>
  </si>
  <si>
    <t>2016-03-06T14:26:00.000Z</t>
  </si>
  <si>
    <t>2026-04-11T00:06:50.000Z</t>
  </si>
  <si>
    <t>2016-03-26T11:01:00.000Z</t>
  </si>
  <si>
    <t>2026-04-11T00:04:44.000Z</t>
  </si>
  <si>
    <t>2016-02-08T14:09:00.000Z</t>
  </si>
  <si>
    <t>2016-02-18T23:13:00.000Z</t>
  </si>
  <si>
    <t>2016-02-27T21:56:00.000Z</t>
  </si>
  <si>
    <t>2016-03-26T18:15:00.000Z</t>
  </si>
  <si>
    <t>2026-04-11T00:08:24.000Z</t>
  </si>
  <si>
    <t>2016-03-05T14:04:00.000Z</t>
  </si>
  <si>
    <t>2016-03-04T23:06:00.000Z</t>
  </si>
  <si>
    <t>2026-04-11T00:07:14.000Z</t>
  </si>
  <si>
    <t>2016-03-20T15:03:00.000Z</t>
  </si>
  <si>
    <t>2016-03-17T15:48:00.000Z</t>
  </si>
  <si>
    <t>2016-03-03T04:28:00.000Z</t>
  </si>
  <si>
    <t>2016-03-19T13:40:00.000Z</t>
  </si>
  <si>
    <t>2026-04-11T00:03:20.000Z</t>
  </si>
  <si>
    <t>2016-03-19T11:14:00.000Z</t>
  </si>
  <si>
    <t>2026-04-11T00:02:45.000Z</t>
  </si>
  <si>
    <t>2016-03-31T23:42:00.000Z</t>
  </si>
  <si>
    <t>2016-03-07T20:36:00.000Z</t>
  </si>
  <si>
    <t>2016-01-24T13:40:00.000Z</t>
  </si>
  <si>
    <t>2026-04-11T00:04:50.000Z</t>
  </si>
  <si>
    <t>2016-03-30T21:40:00.000Z</t>
  </si>
  <si>
    <t>2016-03-28T17:12:00.000Z</t>
  </si>
  <si>
    <t>2016-03-03T17:42:00.000Z</t>
  </si>
  <si>
    <t>2016-03-29T12:17:00.000Z</t>
  </si>
  <si>
    <t>2016-03-29T17:32:00.000Z</t>
  </si>
  <si>
    <t>2016-03-25T13:53:00.000Z</t>
  </si>
  <si>
    <t>2026-04-11T00:11:42.000Z</t>
  </si>
  <si>
    <t>2016-03-03T14:41:00.000Z</t>
  </si>
  <si>
    <t>2026-04-11T00:01:25.000Z</t>
  </si>
  <si>
    <t>2016-03-30T08:07:00.000Z</t>
  </si>
  <si>
    <t>2016-02-19T13:51:00.000Z</t>
  </si>
  <si>
    <t>2026-04-11T00:04:00.000Z</t>
  </si>
  <si>
    <t>2016-02-24T16:59:00.000Z</t>
  </si>
  <si>
    <t>2016-02-03T11:55:00.000Z</t>
  </si>
  <si>
    <t>2026-04-11T00:27:00.000Z</t>
  </si>
  <si>
    <t>2016-02-03T12:05:00.000Z</t>
  </si>
  <si>
    <t>2026-04-11T00:16:38.000Z</t>
  </si>
  <si>
    <t>2016-03-09T15:18:00.000Z</t>
  </si>
  <si>
    <t>2026-04-11T01:11:12.000Z</t>
  </si>
  <si>
    <t>2016-03-24T18:44:00.000Z</t>
  </si>
  <si>
    <t>2026-04-11T01:22:02.000Z</t>
  </si>
  <si>
    <t>2016-03-30T17:04:00.000Z</t>
  </si>
  <si>
    <t>2016-03-30T10:10:00.000Z</t>
  </si>
  <si>
    <t>2016-03-29T22:22:00.000Z</t>
  </si>
  <si>
    <t>2026-04-11T01:47:28.000Z</t>
  </si>
  <si>
    <t>2016-03-30T14:04:00.000Z</t>
  </si>
  <si>
    <t>2026-04-11T01:30:26.000Z</t>
  </si>
  <si>
    <t>2016-03-25T17:32:00.000Z</t>
  </si>
  <si>
    <t>2026-04-11T01:31:36.000Z</t>
  </si>
  <si>
    <t>2016-03-29T15:01:00.000Z</t>
  </si>
  <si>
    <t>2026-04-11T00:02:17.000Z</t>
  </si>
  <si>
    <t>2016-01-11T09:09:00.000Z</t>
  </si>
  <si>
    <t>2026-04-11T00:45:42.000Z</t>
  </si>
  <si>
    <t>2016-02-19T21:26:00.000Z</t>
  </si>
  <si>
    <t>2026-04-11T00:13:28.000Z</t>
  </si>
  <si>
    <t>2016-02-04T21:46:00.000Z</t>
  </si>
  <si>
    <t>2026-04-11T00:13:24.000Z</t>
  </si>
  <si>
    <t>2016-01-25T22:50:00.000Z</t>
  </si>
  <si>
    <t>2026-04-11T00:04:10.000Z</t>
  </si>
  <si>
    <t>2016-01-07T19:42:00.000Z</t>
  </si>
  <si>
    <t>2016-01-08T12:34:00.000Z</t>
  </si>
  <si>
    <t>2016-02-14T08:00:00.000Z</t>
  </si>
  <si>
    <t>2026-04-11T00:09:32.000Z</t>
  </si>
  <si>
    <t>2016-02-02T17:55:00.000Z</t>
  </si>
  <si>
    <t>2016-01-31T18:01:00.000Z</t>
  </si>
  <si>
    <t>2016-02-03T17:38:00.000Z</t>
  </si>
  <si>
    <t>2026-04-11T00:13:22.000Z</t>
  </si>
  <si>
    <t>2016-03-13T16:35:00.000Z</t>
  </si>
  <si>
    <t>2016-03-06T20:51:00.000Z</t>
  </si>
  <si>
    <t>2026-04-11T00:11:56.000Z</t>
  </si>
  <si>
    <t>2016-02-27T20:02:00.000Z</t>
  </si>
  <si>
    <t>2016-01-03T22:51:00.000Z</t>
  </si>
  <si>
    <t>2016-01-08T14:25:00.000Z</t>
  </si>
  <si>
    <t>2026-04-11T00:01:35.000Z</t>
  </si>
  <si>
    <t>2016-01-13T22:02:00.000Z</t>
  </si>
  <si>
    <t>2016-03-11T20:07:00.000Z</t>
  </si>
  <si>
    <t>2026-04-11T01:04:12.000Z</t>
  </si>
  <si>
    <t>2016-03-20T18:37:00.000Z</t>
  </si>
  <si>
    <t>2016-03-31T21:33:00.000Z</t>
  </si>
  <si>
    <t>2016-03-31T18:36:00.000Z</t>
  </si>
  <si>
    <t>2026-04-11T00:04:24.000Z</t>
  </si>
  <si>
    <t>2016-03-29T23:49:00.000Z</t>
  </si>
  <si>
    <t>2026-04-11T00:59:14.000Z</t>
  </si>
  <si>
    <t>2016-03-13T14:07:00.000Z</t>
  </si>
  <si>
    <t>2026-04-11T00:20:19.000Z</t>
  </si>
  <si>
    <t>2016-03-19T11:27:00.000Z</t>
  </si>
  <si>
    <t>2016-03-25T18:17:00.000Z</t>
  </si>
  <si>
    <t>2016-03-25T12:44:00.000Z</t>
  </si>
  <si>
    <t>2026-04-11T00:01:58.000Z</t>
  </si>
  <si>
    <t>2016-02-13T10:22:00.000Z</t>
  </si>
  <si>
    <t>2016-03-26T08:05:00.000Z</t>
  </si>
  <si>
    <t>2016-03-26T10:23:00.000Z</t>
  </si>
  <si>
    <t>2026-04-11T00:16:00.000Z</t>
  </si>
  <si>
    <t>2016-02-25T14:36:00.000Z</t>
  </si>
  <si>
    <t>2016-03-18T09:14:00.000Z</t>
  </si>
  <si>
    <t>2016-03-19T20:36:00.000Z</t>
  </si>
  <si>
    <t>2016-03-20T18:29:00.000Z</t>
  </si>
  <si>
    <t>2016-03-16T07:38:00.000Z</t>
  </si>
  <si>
    <t>2026-04-11T00:24:39.000Z</t>
  </si>
  <si>
    <t>2016-03-15T23:31:00.000Z</t>
  </si>
  <si>
    <t>2026-04-11T00:03:27.000Z</t>
  </si>
  <si>
    <t>2016-02-05T16:31:00.000Z</t>
  </si>
  <si>
    <t>2026-04-11T00:03:30.000Z</t>
  </si>
  <si>
    <t>2016-02-26T13:02:00.000Z</t>
  </si>
  <si>
    <t>2016-02-15T17:50:00.000Z</t>
  </si>
  <si>
    <t>2016-02-20T11:29:00.000Z</t>
  </si>
  <si>
    <t>2016-02-20T11:31:00.000Z</t>
  </si>
  <si>
    <t>2016-02-14T13:27:00.000Z</t>
  </si>
  <si>
    <t>2016-02-21T17:17:00.000Z</t>
  </si>
  <si>
    <t>2016-02-02T20:18:00.000Z</t>
  </si>
  <si>
    <t>2026-04-11T00:04:32.000Z</t>
  </si>
  <si>
    <t>2016-02-25T09:45:00.000Z</t>
  </si>
  <si>
    <t>2026-04-11T00:09:48.000Z</t>
  </si>
  <si>
    <t>2016-03-08T10:42:00.000Z</t>
  </si>
  <si>
    <t>2016-01-01T21:19:00.000Z</t>
  </si>
  <si>
    <t>2016-01-27T23:45:00.000Z</t>
  </si>
  <si>
    <t>2016-01-12T14:21:00.000Z</t>
  </si>
  <si>
    <t>2026-04-11T00:23:06.000Z</t>
  </si>
  <si>
    <t>2016-01-06T21:27:00.000Z</t>
  </si>
  <si>
    <t>2016-02-12T23:59:00.000Z</t>
  </si>
  <si>
    <t>2026-04-11T00:15:16.000Z</t>
  </si>
  <si>
    <t>2016-01-02T20:57:00.000Z</t>
  </si>
  <si>
    <t>2016-01-01T08:26:00.000Z</t>
  </si>
  <si>
    <t>2026-04-11T00:16:21.000Z</t>
  </si>
  <si>
    <t>2016-03-05T01:03:00.000Z</t>
  </si>
  <si>
    <t>2016-03-05T15:25:00.000Z</t>
  </si>
  <si>
    <t>2016-02-19T00:58:00.000Z</t>
  </si>
  <si>
    <t>2016-02-12T19:32:00.000Z</t>
  </si>
  <si>
    <t>2016-03-31T18:33:00.000Z</t>
  </si>
  <si>
    <t>2016-03-27T00:47:00.000Z</t>
  </si>
  <si>
    <t>2016-03-01T11:14:00.000Z</t>
  </si>
  <si>
    <t>2026-04-11T00:24:42.000Z</t>
  </si>
  <si>
    <t>2016-03-29T18:00:00.000Z</t>
  </si>
  <si>
    <t>2016-02-13T02:00:00.000Z</t>
  </si>
  <si>
    <t>2016-02-06T20:53:00.000Z</t>
  </si>
  <si>
    <t>2016-02-28T09:48:00.000Z</t>
  </si>
  <si>
    <t>2026-04-11T01:56:32.000Z</t>
  </si>
  <si>
    <t>2016-02-28T14:29:00.000Z</t>
  </si>
  <si>
    <t>2026-04-11T00:12:24.000Z</t>
  </si>
  <si>
    <t>2016-03-30T18:43:00.000Z</t>
  </si>
  <si>
    <t>2026-04-11T00:03:06.000Z</t>
  </si>
  <si>
    <t>2016-01-11T15:11:00.000Z</t>
  </si>
  <si>
    <t>2016-03-30T23:03:00.000Z</t>
  </si>
  <si>
    <t>2016-02-15T08:37:00.000Z</t>
  </si>
  <si>
    <t>2016-02-15T09:11:00.000Z</t>
  </si>
  <si>
    <t>2016-02-19T10:42:00.000Z</t>
  </si>
  <si>
    <t>2016-02-14T10:18:00.000Z</t>
  </si>
  <si>
    <t>2026-04-11T00:01:34.000Z</t>
  </si>
  <si>
    <t>2016-01-12T22:32:00.000Z</t>
  </si>
  <si>
    <t>2026-04-11T00:10:15.000Z</t>
  </si>
  <si>
    <t>2016-01-12T23:33:00.000Z</t>
  </si>
  <si>
    <t>2026-04-11T00:08:13.000Z</t>
  </si>
  <si>
    <t>2016-01-09T12:30:00.000Z</t>
  </si>
  <si>
    <t>2026-04-11T02:03:12.000Z</t>
  </si>
  <si>
    <t>2016-01-17T18:15:00.000Z</t>
  </si>
  <si>
    <t>2026-04-11T00:24:06.000Z</t>
  </si>
  <si>
    <t>2016-01-08T15:31:00.000Z</t>
  </si>
  <si>
    <t>2016-02-02T20:34:00.000Z</t>
  </si>
  <si>
    <t>2016-02-09T11:55:00.000Z</t>
  </si>
  <si>
    <t>2016-03-15T12:43:00.000Z</t>
  </si>
  <si>
    <t>2016-03-26T08:32:00.000Z</t>
  </si>
  <si>
    <t>2026-04-11T00:19:48.000Z</t>
  </si>
  <si>
    <t>2016-02-09T01:09:00.000Z</t>
  </si>
  <si>
    <t>2016-03-19T20:41:00.000Z</t>
  </si>
  <si>
    <t>2016-03-28T22:41:00.000Z</t>
  </si>
  <si>
    <t>2016-03-30T16:25:00.000Z</t>
  </si>
  <si>
    <t>2026-04-11T01:23:04.000Z</t>
  </si>
  <si>
    <t>2016-03-29T10:47:00.000Z</t>
  </si>
  <si>
    <t>2016-02-20T14:58:00.000Z</t>
  </si>
  <si>
    <t>2016-02-20T13:15:00.000Z</t>
  </si>
  <si>
    <t>2026-04-11T00:03:58.000Z</t>
  </si>
  <si>
    <t>2016-02-24T09:00:00.000Z</t>
  </si>
  <si>
    <t>2026-04-11T00:01:32.000Z</t>
  </si>
  <si>
    <t>2016-02-26T18:27:00.000Z</t>
  </si>
  <si>
    <t>2016-02-19T11:13:00.000Z</t>
  </si>
  <si>
    <t>2016-03-05T21:14:00.000Z</t>
  </si>
  <si>
    <t>2016-03-24T16:48:00.000Z</t>
  </si>
  <si>
    <t>2016-03-29T19:47:00.000Z</t>
  </si>
  <si>
    <t>2016-02-25T16:08:00.000Z</t>
  </si>
  <si>
    <t>2026-04-11T00:13:44.000Z</t>
  </si>
  <si>
    <t>2016-03-05T10:51:00.000Z</t>
  </si>
  <si>
    <t>2026-04-11T00:05:46.000Z</t>
  </si>
  <si>
    <t>2016-03-12T22:22:00.000Z</t>
  </si>
  <si>
    <t>2026-04-11T00:05:52.000Z</t>
  </si>
  <si>
    <t>2016-03-24T21:10:00.000Z</t>
  </si>
  <si>
    <t>2026-04-11T01:04:59.000Z</t>
  </si>
  <si>
    <t>2016-03-31T00:38:00.000Z</t>
  </si>
  <si>
    <t>2026-04-11T00:18:14.000Z</t>
  </si>
  <si>
    <t>2016-01-31T11:08:00.000Z</t>
  </si>
  <si>
    <t>2016-01-29T18:32:00.000Z</t>
  </si>
  <si>
    <t>2026-04-11T00:17:14.000Z</t>
  </si>
  <si>
    <t>2016-01-28T15:00:00.000Z</t>
  </si>
  <si>
    <t>2026-04-11T04:49:00.000Z</t>
  </si>
  <si>
    <t>2016-02-01T10:12:00.000Z</t>
  </si>
  <si>
    <t>2016-01-27T16:14:00.000Z</t>
  </si>
  <si>
    <t>2016-01-27T07:55:00.000Z</t>
  </si>
  <si>
    <t>2016-01-30T18:39:00.000Z</t>
  </si>
  <si>
    <t>2016-01-08T05:10:00.000Z</t>
  </si>
  <si>
    <t>2026-04-11T00:14:06.000Z</t>
  </si>
  <si>
    <t>2016-01-20T16:11:00.000Z</t>
  </si>
  <si>
    <t>2016-01-19T01:01:00.000Z</t>
  </si>
  <si>
    <t>2016-03-23T14:18:00.000Z</t>
  </si>
  <si>
    <t>2016-03-31T11:49:00.000Z</t>
  </si>
  <si>
    <t>2026-04-11T00:21:32.000Z</t>
  </si>
  <si>
    <t>2016-03-31T21:52:00.000Z</t>
  </si>
  <si>
    <t>2026-04-11T00:15:05.000Z</t>
  </si>
  <si>
    <t>2016-01-13T07:04:00.000Z</t>
  </si>
  <si>
    <t>2016-03-27T19:38:00.000Z</t>
  </si>
  <si>
    <t>2016-03-27T19:45:00.000Z</t>
  </si>
  <si>
    <t>2016-03-26T23:29:00.000Z</t>
  </si>
  <si>
    <t>2016-03-01T06:12:00.000Z</t>
  </si>
  <si>
    <t>2016-01-07T14:55:00.000Z</t>
  </si>
  <si>
    <t>2026-04-11T00:09:51.000Z</t>
  </si>
  <si>
    <t>2016-01-11T07:47:00.000Z</t>
  </si>
  <si>
    <t>2016-03-12T16:30:00.000Z</t>
  </si>
  <si>
    <t>2016-03-09T17:32:00.000Z</t>
  </si>
  <si>
    <t>2016-03-20T17:40:00.000Z</t>
  </si>
  <si>
    <t>2016-03-22T22:00:00.000Z</t>
  </si>
  <si>
    <t>2016-03-05T08:19:00.000Z</t>
  </si>
  <si>
    <t>2026-04-11T00:00:43.000Z</t>
  </si>
  <si>
    <t>2016-02-22T10:15:00.000Z</t>
  </si>
  <si>
    <t>2016-02-21T17:47:00.000Z</t>
  </si>
  <si>
    <t>2026-04-11T00:25:45.000Z</t>
  </si>
  <si>
    <t>2016-02-12T08:24:00.000Z</t>
  </si>
  <si>
    <t>2026-04-11T00:04:43.000Z</t>
  </si>
  <si>
    <t>2016-02-20T00:48:00.000Z</t>
  </si>
  <si>
    <t>2016-02-19T18:47:00.000Z</t>
  </si>
  <si>
    <t>2016-02-20T09:16:00.000Z</t>
  </si>
  <si>
    <t>2016-02-20T09:20:00.000Z</t>
  </si>
  <si>
    <t>2026-04-11T00:13:15.000Z</t>
  </si>
  <si>
    <t>2016-02-19T07:55:00.000Z</t>
  </si>
  <si>
    <t>2016-02-19T08:22:00.000Z</t>
  </si>
  <si>
    <t>2026-04-11T01:00:30.000Z</t>
  </si>
  <si>
    <t>2016-03-08T14:30:00.000Z</t>
  </si>
  <si>
    <t>2016-03-18T13:25:00.000Z</t>
  </si>
  <si>
    <t>2016-03-04T23:10:00.000Z</t>
  </si>
  <si>
    <t>2026-04-11T00:02:43.000Z</t>
  </si>
  <si>
    <t>2016-02-18T07:53:00.000Z</t>
  </si>
  <si>
    <t>2026-04-11T00:11:36.000Z</t>
  </si>
  <si>
    <t>2016-02-18T08:14:00.000Z</t>
  </si>
  <si>
    <t>2016-03-06T19:10:00.000Z</t>
  </si>
  <si>
    <t>2016-02-27T08:37:00.000Z</t>
  </si>
  <si>
    <t>2016-03-12T13:09:00.000Z</t>
  </si>
  <si>
    <t>2016-03-12T19:01:00.000Z</t>
  </si>
  <si>
    <t>2016-03-21T14:33:00.000Z</t>
  </si>
  <si>
    <t>2016-03-28T12:26:00.000Z</t>
  </si>
  <si>
    <t>2016-02-22T21:08:00.000Z</t>
  </si>
  <si>
    <t>2016-02-21T15:27:00.000Z</t>
  </si>
  <si>
    <t>2016-02-21T19:15:00.000Z</t>
  </si>
  <si>
    <t>2016-02-21T19:22:00.000Z</t>
  </si>
  <si>
    <t>2016-02-26T11:51:00.000Z</t>
  </si>
  <si>
    <t>2016-02-26T22:38:00.000Z</t>
  </si>
  <si>
    <t>2016-03-02T13:59:00.000Z</t>
  </si>
  <si>
    <t>2016-03-19T18:24:00.000Z</t>
  </si>
  <si>
    <t>2016-03-01T11:03:00.000Z</t>
  </si>
  <si>
    <t>2016-03-30T16:24:00.000Z</t>
  </si>
  <si>
    <t>2016-03-11T04:21:00.000Z</t>
  </si>
  <si>
    <t>2016-03-03T21:24:00.000Z</t>
  </si>
  <si>
    <t>2026-04-11T00:46:48.000Z</t>
  </si>
  <si>
    <t>2016-03-15T13:01:00.000Z</t>
  </si>
  <si>
    <t>2026-04-11T00:29:12.000Z</t>
  </si>
  <si>
    <t>2016-03-03T11:16:00.000Z</t>
  </si>
  <si>
    <t>2016-03-03T17:09:00.000Z</t>
  </si>
  <si>
    <t>2016-03-04T14:30:00.000Z</t>
  </si>
  <si>
    <t>2016-01-08T09:29:00.000Z</t>
  </si>
  <si>
    <t>2016-03-05T03:39:00.000Z</t>
  </si>
  <si>
    <t>2016-03-19T13:38:00.000Z</t>
  </si>
  <si>
    <t>2016-03-20T00:08:00.000Z</t>
  </si>
  <si>
    <t>2016-02-20T16:36:00.000Z</t>
  </si>
  <si>
    <t>2026-04-11T00:01:56.000Z</t>
  </si>
  <si>
    <t>2016-02-18T21:48:00.000Z</t>
  </si>
  <si>
    <t>2016-02-21T22:17:00.000Z</t>
  </si>
  <si>
    <t>2016-03-09T19:24:00.000Z</t>
  </si>
  <si>
    <t>2016-03-13T21:10:00.000Z</t>
  </si>
  <si>
    <t>2026-04-11T00:11:00.000Z</t>
  </si>
  <si>
    <t>2016-03-19T14:08:00.000Z</t>
  </si>
  <si>
    <t>2016-03-30T11:58:00.000Z</t>
  </si>
  <si>
    <t>2016-03-04T14:09:00.000Z</t>
  </si>
  <si>
    <t>2016-03-07T22:46:00.000Z</t>
  </si>
  <si>
    <t>2026-04-11T00:04:08.000Z</t>
  </si>
  <si>
    <t>2016-02-03T19:41:00.000Z</t>
  </si>
  <si>
    <t>2026-04-11T00:18:40.000Z</t>
  </si>
  <si>
    <t>2016-02-25T14:46:00.000Z</t>
  </si>
  <si>
    <t>2016-02-23T01:29:00.000Z</t>
  </si>
  <si>
    <t>2026-04-11T00:04:38.000Z</t>
  </si>
  <si>
    <t>2016-03-02T16:01:00.000Z</t>
  </si>
  <si>
    <t>2026-04-11T00:08:15.000Z</t>
  </si>
  <si>
    <t>2016-03-03T21:26:00.000Z</t>
  </si>
  <si>
    <t>2016-02-27T21:05:00.000Z</t>
  </si>
  <si>
    <t>2016-03-16T22:23:00.000Z</t>
  </si>
  <si>
    <t>2016-03-16T22:25:00.000Z</t>
  </si>
  <si>
    <t>2026-04-11T00:15:51.000Z</t>
  </si>
  <si>
    <t>2016-03-15T19:47:00.000Z</t>
  </si>
  <si>
    <t>2026-04-11T00:14:36.000Z</t>
  </si>
  <si>
    <t>2016-03-09T16:14:00.000Z</t>
  </si>
  <si>
    <t>2026-04-11T00:17:00.000Z</t>
  </si>
  <si>
    <t>2016-03-03T07:25:00.000Z</t>
  </si>
  <si>
    <t>2026-04-11T00:23:22.000Z</t>
  </si>
  <si>
    <t>2016-03-03T07:26:00.000Z</t>
  </si>
  <si>
    <t>2016-03-21T22:38:00.000Z</t>
  </si>
  <si>
    <t>2016-01-10T18:07:00.000Z</t>
  </si>
  <si>
    <t>2026-04-11T00:08:03.000Z</t>
  </si>
  <si>
    <t>2016-01-31T23:05:00.000Z</t>
  </si>
  <si>
    <t>2026-04-11T00:23:33.000Z</t>
  </si>
  <si>
    <t>2016-01-11T05:44:00.000Z</t>
  </si>
  <si>
    <t>2026-04-11T00:52:54.000Z</t>
  </si>
  <si>
    <t>2016-01-30T21:56:00.000Z</t>
  </si>
  <si>
    <t>2016-01-25T22:01:00.000Z</t>
  </si>
  <si>
    <t>2026-04-11T00:03:25.000Z</t>
  </si>
  <si>
    <t>2016-01-11T08:12:00.000Z</t>
  </si>
  <si>
    <t>2016-02-21T09:30:00.000Z</t>
  </si>
  <si>
    <t>2016-02-20T11:18:00.000Z</t>
  </si>
  <si>
    <t>2026-04-11T00:05:56.000Z</t>
  </si>
  <si>
    <t>2016-03-13T16:15:00.000Z</t>
  </si>
  <si>
    <t>2016-02-02T21:11:00.000Z</t>
  </si>
  <si>
    <t>2016-03-11T07:21:00.000Z</t>
  </si>
  <si>
    <t>2026-04-11T00:07:51.000Z</t>
  </si>
  <si>
    <t>2016-01-21T00:16:00.000Z</t>
  </si>
  <si>
    <t>2016-01-11T09:11:00.000Z</t>
  </si>
  <si>
    <t>2016-01-30T21:11:00.000Z</t>
  </si>
  <si>
    <t>2016-02-27T09:49:00.000Z</t>
  </si>
  <si>
    <t>2026-04-11T00:02:44.000Z</t>
  </si>
  <si>
    <t>2016-03-15T17:42:00.000Z</t>
  </si>
  <si>
    <t>2026-04-11T00:01:01.000Z</t>
  </si>
  <si>
    <t>2016-03-01T21:48:00.000Z</t>
  </si>
  <si>
    <t>2016-02-02T08:59:00.000Z</t>
  </si>
  <si>
    <t>2026-04-11T00:06:47.000Z</t>
  </si>
  <si>
    <t>2016-01-15T17:44:00.000Z</t>
  </si>
  <si>
    <t>2016-01-13T19:50:00.000Z</t>
  </si>
  <si>
    <t>2016-01-16T16:38:00.000Z</t>
  </si>
  <si>
    <t>2026-04-11T00:06:44.000Z</t>
  </si>
  <si>
    <t>2016-01-14T19:06:00.000Z</t>
  </si>
  <si>
    <t>2016-01-12T15:07:00.000Z</t>
  </si>
  <si>
    <t>2016-02-07T21:02:00.000Z</t>
  </si>
  <si>
    <t>2016-01-28T21:40:00.000Z</t>
  </si>
  <si>
    <t>2016-01-27T11:27:00.000Z</t>
  </si>
  <si>
    <t>2016-01-27T10:14:00.000Z</t>
  </si>
  <si>
    <t>2026-04-11T00:09:40.000Z</t>
  </si>
  <si>
    <t>2016-01-07T19:11:00.000Z</t>
  </si>
  <si>
    <t>2016-01-29T07:10:00.000Z</t>
  </si>
  <si>
    <t>2016-01-16T13:27:00.000Z</t>
  </si>
  <si>
    <t>2026-04-11T00:31:48.000Z</t>
  </si>
  <si>
    <t>2016-03-31T21:10:00.000Z</t>
  </si>
  <si>
    <t>2016-02-28T14:22:00.000Z</t>
  </si>
  <si>
    <t>2016-03-24T09:04:00.000Z</t>
  </si>
  <si>
    <t>2026-04-11T00:39:15.000Z</t>
  </si>
  <si>
    <t>2016-03-22T00:48:00.000Z</t>
  </si>
  <si>
    <t>2026-04-11T00:52:42.000Z</t>
  </si>
  <si>
    <t>2016-03-20T16:01:00.000Z</t>
  </si>
  <si>
    <t>2026-04-11T00:07:16.000Z</t>
  </si>
  <si>
    <t>2016-02-13T12:28:00.000Z</t>
  </si>
  <si>
    <t>2016-03-13T18:44:00.000Z</t>
  </si>
  <si>
    <t>2016-03-18T21:32:00.000Z</t>
  </si>
  <si>
    <t>2026-04-11T00:06:19.000Z</t>
  </si>
  <si>
    <t>2016-02-11T20:38:00.000Z</t>
  </si>
  <si>
    <t>2026-04-11T00:09:54.000Z</t>
  </si>
  <si>
    <t>2016-02-10T12:41:00.000Z</t>
  </si>
  <si>
    <t>2026-04-11T00:10:22.000Z</t>
  </si>
  <si>
    <t>2016-02-06T22:53:00.000Z</t>
  </si>
  <si>
    <t>2016-02-13T23:02:00.000Z</t>
  </si>
  <si>
    <t>2016-03-06T22:03:00.000Z</t>
  </si>
  <si>
    <t>2016-03-07T22:10:00.000Z</t>
  </si>
  <si>
    <t>2016-02-11T22:56:00.000Z</t>
  </si>
  <si>
    <t>Row Labels</t>
  </si>
  <si>
    <t>Grand Total</t>
  </si>
  <si>
    <t>Sum of HourOfDay</t>
  </si>
  <si>
    <t>Sum of UserID_Profile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</si>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</sst>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22"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2" fontId="0" fillId="0" borderId="0" xfId="0" applyNumberFormat="1"/>
    <xf numFmtId="9" fontId="0" fillId="0" borderId="0" xfId="42" applyFont="1"/>
    <xf numFmtId="165"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6">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Total Users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5.5512248468941379E-2"/>
              <c:y val="9.774897929425488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1.7481189851268644E-2"/>
              <c:y val="-8.0945610965296004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FEB7-48BB-85BB-888497E99C6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244-4E3A-BCA6-AE66D5BEE5B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EB7-48BB-85BB-888497E99C6E}"/>
              </c:ext>
            </c:extLst>
          </c:dPt>
          <c:dLbls>
            <c:dLbl>
              <c:idx val="0"/>
              <c:layout>
                <c:manualLayout>
                  <c:x val="-5.5512248468941379E-2"/>
                  <c:y val="9.774897929425488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EB7-48BB-85BB-888497E99C6E}"/>
                </c:ext>
              </c:extLst>
            </c:dLbl>
            <c:dLbl>
              <c:idx val="2"/>
              <c:layout>
                <c:manualLayout>
                  <c:x val="1.7481189851268644E-2"/>
                  <c:y val="-8.094561096529600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EB7-48BB-85BB-888497E99C6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Analysis!$A$4:$A$7</c:f>
              <c:strCache>
                <c:ptCount val="3"/>
                <c:pt idx="0">
                  <c:v>female</c:v>
                </c:pt>
                <c:pt idx="1">
                  <c:v>male</c:v>
                </c:pt>
                <c:pt idx="2">
                  <c:v>None</c:v>
                </c:pt>
              </c:strCache>
            </c:strRef>
          </c:cat>
          <c:val>
            <c:numRef>
              <c:f>Analysis!$B$4:$B$7</c:f>
              <c:numCache>
                <c:formatCode>#,##0</c:formatCode>
                <c:ptCount val="3"/>
                <c:pt idx="0">
                  <c:v>84842548</c:v>
                </c:pt>
                <c:pt idx="1">
                  <c:v>836815691</c:v>
                </c:pt>
                <c:pt idx="2">
                  <c:v>14194868</c:v>
                </c:pt>
              </c:numCache>
            </c:numRef>
          </c:val>
          <c:extLst>
            <c:ext xmlns:c16="http://schemas.microsoft.com/office/drawing/2014/chart" uri="{C3380CC4-5D6E-409C-BE32-E72D297353CC}">
              <c16:uniqueId val="{00000000-FEB7-48BB-85BB-888497E99C6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Total</a:t>
            </a:r>
            <a:r>
              <a:rPr lang="en-US" baseline="0">
                <a:latin typeface="Calibri" panose="020F0502020204030204" pitchFamily="34" charset="0"/>
                <a:ea typeface="Calibri" panose="020F0502020204030204" pitchFamily="34" charset="0"/>
                <a:cs typeface="Calibri" panose="020F0502020204030204" pitchFamily="34" charset="0"/>
              </a:rPr>
              <a:t> Users by Race</a:t>
            </a:r>
            <a:endParaRPr lang="en-US">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45-4FA5-980B-5E8203EA73C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45-4FA5-980B-5E8203EA73C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45-4FA5-980B-5E8203EA73C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E45-4FA5-980B-5E8203EA73C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BE45-4FA5-980B-5E8203EA73C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BE45-4FA5-980B-5E8203EA73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Analysis!$A$11:$A$17</c:f>
              <c:strCache>
                <c:ptCount val="6"/>
                <c:pt idx="0">
                  <c:v>black</c:v>
                </c:pt>
                <c:pt idx="1">
                  <c:v>coloured</c:v>
                </c:pt>
                <c:pt idx="2">
                  <c:v>indian_asian</c:v>
                </c:pt>
                <c:pt idx="3">
                  <c:v>None</c:v>
                </c:pt>
                <c:pt idx="4">
                  <c:v>other</c:v>
                </c:pt>
                <c:pt idx="5">
                  <c:v>white</c:v>
                </c:pt>
              </c:strCache>
            </c:strRef>
          </c:cat>
          <c:val>
            <c:numRef>
              <c:f>Analysis!$B$11:$B$17</c:f>
              <c:numCache>
                <c:formatCode>#,##0</c:formatCode>
                <c:ptCount val="6"/>
                <c:pt idx="0">
                  <c:v>405928122</c:v>
                </c:pt>
                <c:pt idx="1">
                  <c:v>227851834</c:v>
                </c:pt>
                <c:pt idx="2">
                  <c:v>160960140</c:v>
                </c:pt>
                <c:pt idx="3">
                  <c:v>56302030</c:v>
                </c:pt>
                <c:pt idx="4">
                  <c:v>6460403</c:v>
                </c:pt>
                <c:pt idx="5">
                  <c:v>75944100</c:v>
                </c:pt>
              </c:numCache>
            </c:numRef>
          </c:val>
          <c:extLst>
            <c:ext xmlns:c16="http://schemas.microsoft.com/office/drawing/2014/chart" uri="{C3380CC4-5D6E-409C-BE32-E72D297353CC}">
              <c16:uniqueId val="{00000000-1C20-4205-B45B-B7D0C43A5976}"/>
            </c:ext>
          </c:extLst>
        </c:ser>
        <c:dLbls>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Total Users</a:t>
            </a:r>
            <a:r>
              <a:rPr lang="en-US" baseline="0">
                <a:latin typeface="Calibri" panose="020F0502020204030204" pitchFamily="34" charset="0"/>
                <a:ea typeface="Calibri" panose="020F0502020204030204" pitchFamily="34" charset="0"/>
                <a:cs typeface="Calibri" panose="020F0502020204030204" pitchFamily="34" charset="0"/>
              </a:rPr>
              <a:t> by Province</a:t>
            </a:r>
            <a:endParaRPr lang="en-US">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Analysis!$B$19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Analysis!$A$20:$A$30</c:f>
              <c:strCache>
                <c:ptCount val="10"/>
                <c:pt idx="0">
                  <c:v>Gauteng</c:v>
                </c:pt>
                <c:pt idx="1">
                  <c:v>Western Cape</c:v>
                </c:pt>
                <c:pt idx="2">
                  <c:v>Kwazulu Natal</c:v>
                </c:pt>
                <c:pt idx="3">
                  <c:v>Mpumalanga</c:v>
                </c:pt>
                <c:pt idx="4">
                  <c:v>Limpopo</c:v>
                </c:pt>
                <c:pt idx="5">
                  <c:v>Eastern Cape</c:v>
                </c:pt>
                <c:pt idx="6">
                  <c:v>Free State</c:v>
                </c:pt>
                <c:pt idx="7">
                  <c:v>North West</c:v>
                </c:pt>
                <c:pt idx="8">
                  <c:v>None</c:v>
                </c:pt>
                <c:pt idx="9">
                  <c:v>Northern Cape</c:v>
                </c:pt>
              </c:strCache>
            </c:strRef>
          </c:cat>
          <c:val>
            <c:numRef>
              <c:f>Analysis!$B$20:$B$30</c:f>
              <c:numCache>
                <c:formatCode>#,##0</c:formatCode>
                <c:ptCount val="10"/>
                <c:pt idx="0">
                  <c:v>320376539</c:v>
                </c:pt>
                <c:pt idx="1">
                  <c:v>218724545</c:v>
                </c:pt>
                <c:pt idx="2">
                  <c:v>94269932</c:v>
                </c:pt>
                <c:pt idx="3">
                  <c:v>80280474</c:v>
                </c:pt>
                <c:pt idx="4">
                  <c:v>70469848</c:v>
                </c:pt>
                <c:pt idx="5">
                  <c:v>62551208</c:v>
                </c:pt>
                <c:pt idx="6">
                  <c:v>38132615</c:v>
                </c:pt>
                <c:pt idx="7">
                  <c:v>27276563</c:v>
                </c:pt>
                <c:pt idx="8">
                  <c:v>14194868</c:v>
                </c:pt>
                <c:pt idx="9">
                  <c:v>9576515</c:v>
                </c:pt>
              </c:numCache>
            </c:numRef>
          </c:val>
          <c:extLst>
            <c:ext xmlns:c16="http://schemas.microsoft.com/office/drawing/2014/chart" uri="{C3380CC4-5D6E-409C-BE32-E72D297353CC}">
              <c16:uniqueId val="{00000000-2026-43F7-A170-FF3B072CEF29}"/>
            </c:ext>
          </c:extLst>
        </c:ser>
        <c:dLbls>
          <c:showLegendKey val="0"/>
          <c:showVal val="0"/>
          <c:showCatName val="0"/>
          <c:showSerName val="0"/>
          <c:showPercent val="0"/>
          <c:showBubbleSize val="0"/>
        </c:dLbls>
        <c:gapWidth val="65"/>
        <c:shape val="box"/>
        <c:axId val="567293583"/>
        <c:axId val="567294063"/>
        <c:axId val="0"/>
      </c:bar3DChart>
      <c:catAx>
        <c:axId val="567293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3300000" spcFirstLastPara="1" vertOverflow="ellipsis" wrap="square" anchor="ctr" anchorCtr="1"/>
          <a:lstStyle/>
          <a:p>
            <a:pPr>
              <a:defRPr sz="1000" b="0" i="0" u="none" strike="noStrike" kern="1200" cap="all"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67294063"/>
        <c:crosses val="autoZero"/>
        <c:auto val="1"/>
        <c:lblAlgn val="ctr"/>
        <c:lblOffset val="100"/>
        <c:noMultiLvlLbl val="0"/>
      </c:catAx>
      <c:valAx>
        <c:axId val="567294063"/>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6729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charts).xlsx]Analysis!PivotTable6</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Total Users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Analysis!$B$32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Analysis!$A$33:$A$45</c:f>
              <c:strCache>
                <c:ptCount val="12"/>
                <c:pt idx="0">
                  <c:v>ICC Cricket World Cup 2011</c:v>
                </c:pt>
                <c:pt idx="1">
                  <c:v>Channel O</c:v>
                </c:pt>
                <c:pt idx="2">
                  <c:v>Africa Magic</c:v>
                </c:pt>
                <c:pt idx="3">
                  <c:v>Boomerang</c:v>
                </c:pt>
                <c:pt idx="4">
                  <c:v>Cartoon Network</c:v>
                </c:pt>
                <c:pt idx="5">
                  <c:v>CNN</c:v>
                </c:pt>
                <c:pt idx="6">
                  <c:v>E! Entertainment</c:v>
                </c:pt>
                <c:pt idx="7">
                  <c:v>M-Net</c:v>
                </c:pt>
                <c:pt idx="8">
                  <c:v>DStv Events 1</c:v>
                </c:pt>
                <c:pt idx="9">
                  <c:v>Break in transmission</c:v>
                </c:pt>
                <c:pt idx="10">
                  <c:v>kykNET</c:v>
                </c:pt>
                <c:pt idx="11">
                  <c:v>MK</c:v>
                </c:pt>
              </c:strCache>
            </c:strRef>
          </c:cat>
          <c:val>
            <c:numRef>
              <c:f>Analysis!$B$33:$B$45</c:f>
              <c:numCache>
                <c:formatCode>#,##0</c:formatCode>
                <c:ptCount val="12"/>
                <c:pt idx="0">
                  <c:v>129710937</c:v>
                </c:pt>
                <c:pt idx="1">
                  <c:v>109983325</c:v>
                </c:pt>
                <c:pt idx="2">
                  <c:v>85286955</c:v>
                </c:pt>
                <c:pt idx="3">
                  <c:v>83386820</c:v>
                </c:pt>
                <c:pt idx="4">
                  <c:v>66814829</c:v>
                </c:pt>
                <c:pt idx="5">
                  <c:v>38209073</c:v>
                </c:pt>
                <c:pt idx="6">
                  <c:v>21153283</c:v>
                </c:pt>
                <c:pt idx="7">
                  <c:v>11072369</c:v>
                </c:pt>
                <c:pt idx="8">
                  <c:v>8905562</c:v>
                </c:pt>
                <c:pt idx="9">
                  <c:v>7054269</c:v>
                </c:pt>
                <c:pt idx="10">
                  <c:v>4435508</c:v>
                </c:pt>
                <c:pt idx="11">
                  <c:v>2468852</c:v>
                </c:pt>
              </c:numCache>
            </c:numRef>
          </c:val>
          <c:extLst>
            <c:ext xmlns:c16="http://schemas.microsoft.com/office/drawing/2014/chart" uri="{C3380CC4-5D6E-409C-BE32-E72D297353CC}">
              <c16:uniqueId val="{00000002-93AC-48BC-9F36-5D3BF6E66EEC}"/>
            </c:ext>
          </c:extLst>
        </c:ser>
        <c:dLbls>
          <c:showLegendKey val="0"/>
          <c:showVal val="0"/>
          <c:showCatName val="0"/>
          <c:showSerName val="0"/>
          <c:showPercent val="0"/>
          <c:showBubbleSize val="0"/>
        </c:dLbls>
        <c:gapWidth val="65"/>
        <c:shape val="box"/>
        <c:axId val="574275119"/>
        <c:axId val="574233071"/>
        <c:axId val="0"/>
      </c:bar3DChart>
      <c:catAx>
        <c:axId val="5742751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3240000" spcFirstLastPara="1" vertOverflow="ellipsis" wrap="square" anchor="ctr" anchorCtr="1"/>
          <a:lstStyle/>
          <a:p>
            <a:pPr>
              <a:defRPr sz="900" b="0" i="0" u="none" strike="noStrike" kern="1200" cap="all"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74233071"/>
        <c:crosses val="autoZero"/>
        <c:auto val="1"/>
        <c:lblAlgn val="ctr"/>
        <c:lblOffset val="100"/>
        <c:noMultiLvlLbl val="0"/>
      </c:catAx>
      <c:valAx>
        <c:axId val="574233071"/>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Users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ZA"/>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7427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charts).xlsx]Analysis!PivotTable8</c:name>
    <c:fmtId val="3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ZA">
                <a:solidFill>
                  <a:schemeClr val="tx1"/>
                </a:solidFill>
              </a:rPr>
              <a:t>Users</a:t>
            </a:r>
            <a:r>
              <a:rPr lang="en-ZA" baseline="0">
                <a:solidFill>
                  <a:schemeClr val="tx1"/>
                </a:solidFill>
              </a:rPr>
              <a:t> by time classification and channel</a:t>
            </a:r>
            <a:endParaRPr lang="en-ZA">
              <a:solidFill>
                <a:schemeClr val="tx1"/>
              </a:solidFill>
            </a:endParaRPr>
          </a:p>
        </c:rich>
      </c:tx>
      <c:layout>
        <c:manualLayout>
          <c:xMode val="edge"/>
          <c:yMode val="edge"/>
          <c:x val="0.1410200018101185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Z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216777868074385E-2"/>
          <c:y val="0.16600881311854368"/>
          <c:w val="0.76395531000949235"/>
          <c:h val="0.37358520551903485"/>
        </c:manualLayout>
      </c:layout>
      <c:bar3DChart>
        <c:barDir val="col"/>
        <c:grouping val="stacked"/>
        <c:varyColors val="0"/>
        <c:ser>
          <c:idx val="0"/>
          <c:order val="0"/>
          <c:tx>
            <c:strRef>
              <c:f>Analysis!$B$52:$B$53</c:f>
              <c:strCache>
                <c:ptCount val="1"/>
                <c:pt idx="0">
                  <c:v>Daytime_viewing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Analysis!$A$54:$A$71</c:f>
              <c:strCache>
                <c:ptCount val="17"/>
                <c:pt idx="0">
                  <c:v>Supersport Live Events</c:v>
                </c:pt>
                <c:pt idx="1">
                  <c:v>Trace TV</c:v>
                </c:pt>
                <c:pt idx="2">
                  <c:v>Channel O</c:v>
                </c:pt>
                <c:pt idx="3">
                  <c:v>ICC Cricket World Cup 2011</c:v>
                </c:pt>
                <c:pt idx="4">
                  <c:v>SuperSport Blitz</c:v>
                </c:pt>
                <c:pt idx="5">
                  <c:v>Boomerang</c:v>
                </c:pt>
                <c:pt idx="6">
                  <c:v>Africa Magic</c:v>
                </c:pt>
                <c:pt idx="7">
                  <c:v>Cartoon Network</c:v>
                </c:pt>
                <c:pt idx="8">
                  <c:v>CNN</c:v>
                </c:pt>
                <c:pt idx="9">
                  <c:v>E! Entertainment</c:v>
                </c:pt>
                <c:pt idx="10">
                  <c:v>SawSee</c:v>
                </c:pt>
                <c:pt idx="11">
                  <c:v>Vuzu</c:v>
                </c:pt>
                <c:pt idx="12">
                  <c:v>DStv Events 1</c:v>
                </c:pt>
                <c:pt idx="13">
                  <c:v>M-Net</c:v>
                </c:pt>
                <c:pt idx="14">
                  <c:v>Break in transmission</c:v>
                </c:pt>
                <c:pt idx="15">
                  <c:v>kykNET</c:v>
                </c:pt>
                <c:pt idx="16">
                  <c:v>MK</c:v>
                </c:pt>
              </c:strCache>
            </c:strRef>
          </c:cat>
          <c:val>
            <c:numRef>
              <c:f>Analysis!$B$54:$B$71</c:f>
              <c:numCache>
                <c:formatCode>#,##0</c:formatCode>
                <c:ptCount val="17"/>
                <c:pt idx="0">
                  <c:v>921</c:v>
                </c:pt>
                <c:pt idx="1">
                  <c:v>481</c:v>
                </c:pt>
                <c:pt idx="2">
                  <c:v>594</c:v>
                </c:pt>
                <c:pt idx="3">
                  <c:v>913</c:v>
                </c:pt>
                <c:pt idx="4">
                  <c:v>404</c:v>
                </c:pt>
                <c:pt idx="5">
                  <c:v>318</c:v>
                </c:pt>
                <c:pt idx="6">
                  <c:v>406</c:v>
                </c:pt>
                <c:pt idx="7">
                  <c:v>349</c:v>
                </c:pt>
                <c:pt idx="8">
                  <c:v>197</c:v>
                </c:pt>
                <c:pt idx="9">
                  <c:v>71</c:v>
                </c:pt>
                <c:pt idx="10">
                  <c:v>98</c:v>
                </c:pt>
                <c:pt idx="11">
                  <c:v>16</c:v>
                </c:pt>
                <c:pt idx="13">
                  <c:v>14</c:v>
                </c:pt>
                <c:pt idx="14">
                  <c:v>11</c:v>
                </c:pt>
                <c:pt idx="15">
                  <c:v>44</c:v>
                </c:pt>
              </c:numCache>
            </c:numRef>
          </c:val>
          <c:extLst>
            <c:ext xmlns:c16="http://schemas.microsoft.com/office/drawing/2014/chart" uri="{C3380CC4-5D6E-409C-BE32-E72D297353CC}">
              <c16:uniqueId val="{00000000-796C-4004-A893-45A0E91289BA}"/>
            </c:ext>
          </c:extLst>
        </c:ser>
        <c:ser>
          <c:idx val="1"/>
          <c:order val="1"/>
          <c:tx>
            <c:strRef>
              <c:f>Analysis!$C$52:$C$53</c:f>
              <c:strCache>
                <c:ptCount val="1"/>
                <c:pt idx="0">
                  <c:v>Family_time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Analysis!$A$54:$A$71</c:f>
              <c:strCache>
                <c:ptCount val="17"/>
                <c:pt idx="0">
                  <c:v>Supersport Live Events</c:v>
                </c:pt>
                <c:pt idx="1">
                  <c:v>Trace TV</c:v>
                </c:pt>
                <c:pt idx="2">
                  <c:v>Channel O</c:v>
                </c:pt>
                <c:pt idx="3">
                  <c:v>ICC Cricket World Cup 2011</c:v>
                </c:pt>
                <c:pt idx="4">
                  <c:v>SuperSport Blitz</c:v>
                </c:pt>
                <c:pt idx="5">
                  <c:v>Boomerang</c:v>
                </c:pt>
                <c:pt idx="6">
                  <c:v>Africa Magic</c:v>
                </c:pt>
                <c:pt idx="7">
                  <c:v>Cartoon Network</c:v>
                </c:pt>
                <c:pt idx="8">
                  <c:v>CNN</c:v>
                </c:pt>
                <c:pt idx="9">
                  <c:v>E! Entertainment</c:v>
                </c:pt>
                <c:pt idx="10">
                  <c:v>SawSee</c:v>
                </c:pt>
                <c:pt idx="11">
                  <c:v>Vuzu</c:v>
                </c:pt>
                <c:pt idx="12">
                  <c:v>DStv Events 1</c:v>
                </c:pt>
                <c:pt idx="13">
                  <c:v>M-Net</c:v>
                </c:pt>
                <c:pt idx="14">
                  <c:v>Break in transmission</c:v>
                </c:pt>
                <c:pt idx="15">
                  <c:v>kykNET</c:v>
                </c:pt>
                <c:pt idx="16">
                  <c:v>MK</c:v>
                </c:pt>
              </c:strCache>
            </c:strRef>
          </c:cat>
          <c:val>
            <c:numRef>
              <c:f>Analysis!$C$54:$C$71</c:f>
              <c:numCache>
                <c:formatCode>#,##0</c:formatCode>
                <c:ptCount val="17"/>
                <c:pt idx="0">
                  <c:v>758</c:v>
                </c:pt>
                <c:pt idx="1">
                  <c:v>719</c:v>
                </c:pt>
                <c:pt idx="2">
                  <c:v>509</c:v>
                </c:pt>
                <c:pt idx="3">
                  <c:v>76</c:v>
                </c:pt>
                <c:pt idx="4">
                  <c:v>636</c:v>
                </c:pt>
                <c:pt idx="5">
                  <c:v>546</c:v>
                </c:pt>
                <c:pt idx="6">
                  <c:v>493</c:v>
                </c:pt>
                <c:pt idx="7">
                  <c:v>511</c:v>
                </c:pt>
                <c:pt idx="8">
                  <c:v>210</c:v>
                </c:pt>
                <c:pt idx="9">
                  <c:v>208</c:v>
                </c:pt>
                <c:pt idx="10">
                  <c:v>173</c:v>
                </c:pt>
                <c:pt idx="11">
                  <c:v>94</c:v>
                </c:pt>
                <c:pt idx="12">
                  <c:v>110</c:v>
                </c:pt>
                <c:pt idx="13">
                  <c:v>98</c:v>
                </c:pt>
                <c:pt idx="14">
                  <c:v>56</c:v>
                </c:pt>
                <c:pt idx="16">
                  <c:v>39</c:v>
                </c:pt>
              </c:numCache>
            </c:numRef>
          </c:val>
          <c:extLst>
            <c:ext xmlns:c16="http://schemas.microsoft.com/office/drawing/2014/chart" uri="{C3380CC4-5D6E-409C-BE32-E72D297353CC}">
              <c16:uniqueId val="{00000001-796C-4004-A893-45A0E91289BA}"/>
            </c:ext>
          </c:extLst>
        </c:ser>
        <c:ser>
          <c:idx val="2"/>
          <c:order val="2"/>
          <c:tx>
            <c:strRef>
              <c:f>Analysis!$D$52:$D$53</c:f>
              <c:strCache>
                <c:ptCount val="1"/>
                <c:pt idx="0">
                  <c:v>Latenight_viewing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Analysis!$A$54:$A$71</c:f>
              <c:strCache>
                <c:ptCount val="17"/>
                <c:pt idx="0">
                  <c:v>Supersport Live Events</c:v>
                </c:pt>
                <c:pt idx="1">
                  <c:v>Trace TV</c:v>
                </c:pt>
                <c:pt idx="2">
                  <c:v>Channel O</c:v>
                </c:pt>
                <c:pt idx="3">
                  <c:v>ICC Cricket World Cup 2011</c:v>
                </c:pt>
                <c:pt idx="4">
                  <c:v>SuperSport Blitz</c:v>
                </c:pt>
                <c:pt idx="5">
                  <c:v>Boomerang</c:v>
                </c:pt>
                <c:pt idx="6">
                  <c:v>Africa Magic</c:v>
                </c:pt>
                <c:pt idx="7">
                  <c:v>Cartoon Network</c:v>
                </c:pt>
                <c:pt idx="8">
                  <c:v>CNN</c:v>
                </c:pt>
                <c:pt idx="9">
                  <c:v>E! Entertainment</c:v>
                </c:pt>
                <c:pt idx="10">
                  <c:v>SawSee</c:v>
                </c:pt>
                <c:pt idx="11">
                  <c:v>Vuzu</c:v>
                </c:pt>
                <c:pt idx="12">
                  <c:v>DStv Events 1</c:v>
                </c:pt>
                <c:pt idx="13">
                  <c:v>M-Net</c:v>
                </c:pt>
                <c:pt idx="14">
                  <c:v>Break in transmission</c:v>
                </c:pt>
                <c:pt idx="15">
                  <c:v>kykNET</c:v>
                </c:pt>
                <c:pt idx="16">
                  <c:v>MK</c:v>
                </c:pt>
              </c:strCache>
            </c:strRef>
          </c:cat>
          <c:val>
            <c:numRef>
              <c:f>Analysis!$D$54:$D$71</c:f>
              <c:numCache>
                <c:formatCode>#,##0</c:formatCode>
                <c:ptCount val="17"/>
                <c:pt idx="0">
                  <c:v>45</c:v>
                </c:pt>
                <c:pt idx="1">
                  <c:v>157</c:v>
                </c:pt>
                <c:pt idx="2">
                  <c:v>67</c:v>
                </c:pt>
                <c:pt idx="3">
                  <c:v>22</c:v>
                </c:pt>
                <c:pt idx="4">
                  <c:v>23</c:v>
                </c:pt>
                <c:pt idx="5">
                  <c:v>113</c:v>
                </c:pt>
                <c:pt idx="6">
                  <c:v>44</c:v>
                </c:pt>
                <c:pt idx="7">
                  <c:v>111</c:v>
                </c:pt>
                <c:pt idx="8">
                  <c:v>67</c:v>
                </c:pt>
                <c:pt idx="9">
                  <c:v>22</c:v>
                </c:pt>
                <c:pt idx="10">
                  <c:v>23</c:v>
                </c:pt>
                <c:pt idx="11">
                  <c:v>22</c:v>
                </c:pt>
                <c:pt idx="12">
                  <c:v>22</c:v>
                </c:pt>
                <c:pt idx="15">
                  <c:v>23</c:v>
                </c:pt>
              </c:numCache>
            </c:numRef>
          </c:val>
          <c:extLst>
            <c:ext xmlns:c16="http://schemas.microsoft.com/office/drawing/2014/chart" uri="{C3380CC4-5D6E-409C-BE32-E72D297353CC}">
              <c16:uniqueId val="{00000002-796C-4004-A893-45A0E91289BA}"/>
            </c:ext>
          </c:extLst>
        </c:ser>
        <c:ser>
          <c:idx val="3"/>
          <c:order val="3"/>
          <c:tx>
            <c:strRef>
              <c:f>Analysis!$E$52:$E$53</c:f>
              <c:strCache>
                <c:ptCount val="1"/>
                <c:pt idx="0">
                  <c:v>Morning_views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Analysis!$A$54:$A$71</c:f>
              <c:strCache>
                <c:ptCount val="17"/>
                <c:pt idx="0">
                  <c:v>Supersport Live Events</c:v>
                </c:pt>
                <c:pt idx="1">
                  <c:v>Trace TV</c:v>
                </c:pt>
                <c:pt idx="2">
                  <c:v>Channel O</c:v>
                </c:pt>
                <c:pt idx="3">
                  <c:v>ICC Cricket World Cup 2011</c:v>
                </c:pt>
                <c:pt idx="4">
                  <c:v>SuperSport Blitz</c:v>
                </c:pt>
                <c:pt idx="5">
                  <c:v>Boomerang</c:v>
                </c:pt>
                <c:pt idx="6">
                  <c:v>Africa Magic</c:v>
                </c:pt>
                <c:pt idx="7">
                  <c:v>Cartoon Network</c:v>
                </c:pt>
                <c:pt idx="8">
                  <c:v>CNN</c:v>
                </c:pt>
                <c:pt idx="9">
                  <c:v>E! Entertainment</c:v>
                </c:pt>
                <c:pt idx="10">
                  <c:v>SawSee</c:v>
                </c:pt>
                <c:pt idx="11">
                  <c:v>Vuzu</c:v>
                </c:pt>
                <c:pt idx="12">
                  <c:v>DStv Events 1</c:v>
                </c:pt>
                <c:pt idx="13">
                  <c:v>M-Net</c:v>
                </c:pt>
                <c:pt idx="14">
                  <c:v>Break in transmission</c:v>
                </c:pt>
                <c:pt idx="15">
                  <c:v>kykNET</c:v>
                </c:pt>
                <c:pt idx="16">
                  <c:v>MK</c:v>
                </c:pt>
              </c:strCache>
            </c:strRef>
          </c:cat>
          <c:val>
            <c:numRef>
              <c:f>Analysis!$E$54:$E$71</c:f>
              <c:numCache>
                <c:formatCode>#,##0</c:formatCode>
                <c:ptCount val="17"/>
                <c:pt idx="0">
                  <c:v>348</c:v>
                </c:pt>
                <c:pt idx="1">
                  <c:v>211</c:v>
                </c:pt>
                <c:pt idx="2">
                  <c:v>290</c:v>
                </c:pt>
                <c:pt idx="3">
                  <c:v>400</c:v>
                </c:pt>
                <c:pt idx="4">
                  <c:v>150</c:v>
                </c:pt>
                <c:pt idx="5">
                  <c:v>218</c:v>
                </c:pt>
                <c:pt idx="6">
                  <c:v>188</c:v>
                </c:pt>
                <c:pt idx="7">
                  <c:v>139</c:v>
                </c:pt>
                <c:pt idx="8">
                  <c:v>58</c:v>
                </c:pt>
                <c:pt idx="9">
                  <c:v>43</c:v>
                </c:pt>
                <c:pt idx="10">
                  <c:v>35</c:v>
                </c:pt>
                <c:pt idx="11">
                  <c:v>33</c:v>
                </c:pt>
                <c:pt idx="12">
                  <c:v>22</c:v>
                </c:pt>
                <c:pt idx="13">
                  <c:v>38</c:v>
                </c:pt>
                <c:pt idx="14">
                  <c:v>11</c:v>
                </c:pt>
                <c:pt idx="15">
                  <c:v>8</c:v>
                </c:pt>
              </c:numCache>
            </c:numRef>
          </c:val>
          <c:extLst>
            <c:ext xmlns:c16="http://schemas.microsoft.com/office/drawing/2014/chart" uri="{C3380CC4-5D6E-409C-BE32-E72D297353CC}">
              <c16:uniqueId val="{00000003-796C-4004-A893-45A0E91289BA}"/>
            </c:ext>
          </c:extLst>
        </c:ser>
        <c:ser>
          <c:idx val="4"/>
          <c:order val="4"/>
          <c:tx>
            <c:strRef>
              <c:f>Analysis!$F$52:$F$53</c:f>
              <c:strCache>
                <c:ptCount val="1"/>
                <c:pt idx="0">
                  <c:v>Night_Owl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Analysis!$A$54:$A$71</c:f>
              <c:strCache>
                <c:ptCount val="17"/>
                <c:pt idx="0">
                  <c:v>Supersport Live Events</c:v>
                </c:pt>
                <c:pt idx="1">
                  <c:v>Trace TV</c:v>
                </c:pt>
                <c:pt idx="2">
                  <c:v>Channel O</c:v>
                </c:pt>
                <c:pt idx="3">
                  <c:v>ICC Cricket World Cup 2011</c:v>
                </c:pt>
                <c:pt idx="4">
                  <c:v>SuperSport Blitz</c:v>
                </c:pt>
                <c:pt idx="5">
                  <c:v>Boomerang</c:v>
                </c:pt>
                <c:pt idx="6">
                  <c:v>Africa Magic</c:v>
                </c:pt>
                <c:pt idx="7">
                  <c:v>Cartoon Network</c:v>
                </c:pt>
                <c:pt idx="8">
                  <c:v>CNN</c:v>
                </c:pt>
                <c:pt idx="9">
                  <c:v>E! Entertainment</c:v>
                </c:pt>
                <c:pt idx="10">
                  <c:v>SawSee</c:v>
                </c:pt>
                <c:pt idx="11">
                  <c:v>Vuzu</c:v>
                </c:pt>
                <c:pt idx="12">
                  <c:v>DStv Events 1</c:v>
                </c:pt>
                <c:pt idx="13">
                  <c:v>M-Net</c:v>
                </c:pt>
                <c:pt idx="14">
                  <c:v>Break in transmission</c:v>
                </c:pt>
                <c:pt idx="15">
                  <c:v>kykNET</c:v>
                </c:pt>
                <c:pt idx="16">
                  <c:v>MK</c:v>
                </c:pt>
              </c:strCache>
            </c:strRef>
          </c:cat>
          <c:val>
            <c:numRef>
              <c:f>Analysis!$F$54:$F$71</c:f>
              <c:numCache>
                <c:formatCode>#,##0</c:formatCode>
                <c:ptCount val="17"/>
                <c:pt idx="0">
                  <c:v>14</c:v>
                </c:pt>
                <c:pt idx="1">
                  <c:v>19</c:v>
                </c:pt>
                <c:pt idx="2">
                  <c:v>44</c:v>
                </c:pt>
                <c:pt idx="3">
                  <c:v>4</c:v>
                </c:pt>
                <c:pt idx="4">
                  <c:v>26</c:v>
                </c:pt>
                <c:pt idx="5">
                  <c:v>8</c:v>
                </c:pt>
                <c:pt idx="6">
                  <c:v>10</c:v>
                </c:pt>
                <c:pt idx="7">
                  <c:v>3</c:v>
                </c:pt>
                <c:pt idx="8">
                  <c:v>10</c:v>
                </c:pt>
                <c:pt idx="10">
                  <c:v>3</c:v>
                </c:pt>
                <c:pt idx="13">
                  <c:v>2</c:v>
                </c:pt>
                <c:pt idx="14">
                  <c:v>3</c:v>
                </c:pt>
                <c:pt idx="16">
                  <c:v>0</c:v>
                </c:pt>
              </c:numCache>
            </c:numRef>
          </c:val>
          <c:extLst>
            <c:ext xmlns:c16="http://schemas.microsoft.com/office/drawing/2014/chart" uri="{C3380CC4-5D6E-409C-BE32-E72D297353CC}">
              <c16:uniqueId val="{00000004-796C-4004-A893-45A0E91289BA}"/>
            </c:ext>
          </c:extLst>
        </c:ser>
        <c:dLbls>
          <c:showLegendKey val="0"/>
          <c:showVal val="0"/>
          <c:showCatName val="0"/>
          <c:showSerName val="0"/>
          <c:showPercent val="0"/>
          <c:showBubbleSize val="0"/>
        </c:dLbls>
        <c:gapWidth val="150"/>
        <c:shape val="box"/>
        <c:axId val="1026956319"/>
        <c:axId val="1026955839"/>
        <c:axId val="0"/>
      </c:bar3DChart>
      <c:catAx>
        <c:axId val="1026956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26955839"/>
        <c:crosses val="autoZero"/>
        <c:auto val="1"/>
        <c:lblAlgn val="ctr"/>
        <c:lblOffset val="100"/>
        <c:noMultiLvlLbl val="0"/>
      </c:catAx>
      <c:valAx>
        <c:axId val="1026955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ZA">
                    <a:solidFill>
                      <a:sysClr val="windowText" lastClr="000000"/>
                    </a:solidFill>
                    <a:latin typeface="Calibri" panose="020F0502020204030204" pitchFamily="34" charset="0"/>
                    <a:ea typeface="Calibri" panose="020F0502020204030204" pitchFamily="34" charset="0"/>
                    <a:cs typeface="Calibri" panose="020F0502020204030204" pitchFamily="34" charset="0"/>
                  </a:rPr>
                  <a:t>Hours</a:t>
                </a:r>
                <a:r>
                  <a:rPr lang="en-ZA"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endParaRPr lang="en-ZA">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1.3903749889026229E-2"/>
              <c:y val="0.3366293433504297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ZA"/>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26956319"/>
        <c:crosses val="autoZero"/>
        <c:crossBetween val="between"/>
      </c:valAx>
      <c:spPr>
        <a:noFill/>
        <a:ln>
          <a:noFill/>
        </a:ln>
        <a:effectLst/>
      </c:spPr>
    </c:plotArea>
    <c:legend>
      <c:legendPos val="r"/>
      <c:layout>
        <c:manualLayout>
          <c:xMode val="edge"/>
          <c:yMode val="edge"/>
          <c:x val="0.85602365619301923"/>
          <c:y val="0.18306400346745647"/>
          <c:w val="0.14397637795275592"/>
          <c:h val="0.4293923183266213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charts).xlsx]Analysis!PivotTable10</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Users</a:t>
            </a:r>
            <a:r>
              <a:rPr lang="en-ZA"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gender and channel</a:t>
            </a:r>
            <a:endParaRPr lang="en-ZA"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Analysis!$B$73:$B$74</c:f>
              <c:strCache>
                <c:ptCount val="1"/>
                <c:pt idx="0">
                  <c:v>female</c:v>
                </c:pt>
              </c:strCache>
            </c:strRef>
          </c:tx>
          <c:spPr>
            <a:solidFill>
              <a:schemeClr val="accent1"/>
            </a:solidFill>
            <a:ln>
              <a:noFill/>
            </a:ln>
            <a:effectLst/>
            <a:sp3d/>
          </c:spPr>
          <c:invertIfNegative val="0"/>
          <c:cat>
            <c:multiLvlStrRef>
              <c:f>Analysis!$A$75:$A$83</c:f>
              <c:multiLvlStrCache>
                <c:ptCount val="7"/>
                <c:lvl>
                  <c:pt idx="0">
                    <c:v>Sun</c:v>
                  </c:pt>
                  <c:pt idx="1">
                    <c:v>Mon</c:v>
                  </c:pt>
                  <c:pt idx="2">
                    <c:v>Tue</c:v>
                  </c:pt>
                  <c:pt idx="3">
                    <c:v>Wed</c:v>
                  </c:pt>
                  <c:pt idx="4">
                    <c:v>Thu</c:v>
                  </c:pt>
                  <c:pt idx="5">
                    <c:v>Fri</c:v>
                  </c:pt>
                  <c:pt idx="6">
                    <c:v>Sat</c:v>
                  </c:pt>
                </c:lvl>
                <c:lvl>
                  <c:pt idx="0">
                    <c:v>Channel O</c:v>
                  </c:pt>
                </c:lvl>
              </c:multiLvlStrCache>
            </c:multiLvlStrRef>
          </c:cat>
          <c:val>
            <c:numRef>
              <c:f>Analysis!$B$75:$B$83</c:f>
              <c:numCache>
                <c:formatCode>#,##0</c:formatCode>
                <c:ptCount val="7"/>
                <c:pt idx="0">
                  <c:v>2217576</c:v>
                </c:pt>
                <c:pt idx="1">
                  <c:v>779442</c:v>
                </c:pt>
                <c:pt idx="2">
                  <c:v>1602344</c:v>
                </c:pt>
                <c:pt idx="3">
                  <c:v>2426911</c:v>
                </c:pt>
                <c:pt idx="4">
                  <c:v>1617896</c:v>
                </c:pt>
                <c:pt idx="5">
                  <c:v>3206420</c:v>
                </c:pt>
                <c:pt idx="6">
                  <c:v>2557658</c:v>
                </c:pt>
              </c:numCache>
            </c:numRef>
          </c:val>
          <c:extLst>
            <c:ext xmlns:c16="http://schemas.microsoft.com/office/drawing/2014/chart" uri="{C3380CC4-5D6E-409C-BE32-E72D297353CC}">
              <c16:uniqueId val="{00000000-64DE-4DD1-B783-7E816BA991AC}"/>
            </c:ext>
          </c:extLst>
        </c:ser>
        <c:ser>
          <c:idx val="1"/>
          <c:order val="1"/>
          <c:tx>
            <c:strRef>
              <c:f>Analysis!$C$73:$C$74</c:f>
              <c:strCache>
                <c:ptCount val="1"/>
                <c:pt idx="0">
                  <c:v>male</c:v>
                </c:pt>
              </c:strCache>
            </c:strRef>
          </c:tx>
          <c:spPr>
            <a:solidFill>
              <a:schemeClr val="accent2"/>
            </a:solidFill>
            <a:ln>
              <a:noFill/>
            </a:ln>
            <a:effectLst/>
            <a:sp3d/>
          </c:spPr>
          <c:invertIfNegative val="0"/>
          <c:cat>
            <c:multiLvlStrRef>
              <c:f>Analysis!$A$75:$A$83</c:f>
              <c:multiLvlStrCache>
                <c:ptCount val="7"/>
                <c:lvl>
                  <c:pt idx="0">
                    <c:v>Sun</c:v>
                  </c:pt>
                  <c:pt idx="1">
                    <c:v>Mon</c:v>
                  </c:pt>
                  <c:pt idx="2">
                    <c:v>Tue</c:v>
                  </c:pt>
                  <c:pt idx="3">
                    <c:v>Wed</c:v>
                  </c:pt>
                  <c:pt idx="4">
                    <c:v>Thu</c:v>
                  </c:pt>
                  <c:pt idx="5">
                    <c:v>Fri</c:v>
                  </c:pt>
                  <c:pt idx="6">
                    <c:v>Sat</c:v>
                  </c:pt>
                </c:lvl>
                <c:lvl>
                  <c:pt idx="0">
                    <c:v>Channel O</c:v>
                  </c:pt>
                </c:lvl>
              </c:multiLvlStrCache>
            </c:multiLvlStrRef>
          </c:cat>
          <c:val>
            <c:numRef>
              <c:f>Analysis!$C$75:$C$83</c:f>
              <c:numCache>
                <c:formatCode>#,##0</c:formatCode>
                <c:ptCount val="7"/>
                <c:pt idx="0">
                  <c:v>13612811</c:v>
                </c:pt>
                <c:pt idx="1">
                  <c:v>9187956</c:v>
                </c:pt>
                <c:pt idx="2">
                  <c:v>16538691</c:v>
                </c:pt>
                <c:pt idx="3">
                  <c:v>13930270</c:v>
                </c:pt>
                <c:pt idx="4">
                  <c:v>11612751</c:v>
                </c:pt>
                <c:pt idx="5">
                  <c:v>16300327</c:v>
                </c:pt>
                <c:pt idx="6">
                  <c:v>9650105</c:v>
                </c:pt>
              </c:numCache>
            </c:numRef>
          </c:val>
          <c:extLst>
            <c:ext xmlns:c16="http://schemas.microsoft.com/office/drawing/2014/chart" uri="{C3380CC4-5D6E-409C-BE32-E72D297353CC}">
              <c16:uniqueId val="{00000010-08AC-45AF-A700-35A7E53EDF28}"/>
            </c:ext>
          </c:extLst>
        </c:ser>
        <c:ser>
          <c:idx val="2"/>
          <c:order val="2"/>
          <c:tx>
            <c:strRef>
              <c:f>Analysis!$D$73:$D$74</c:f>
              <c:strCache>
                <c:ptCount val="1"/>
                <c:pt idx="0">
                  <c:v>None</c:v>
                </c:pt>
              </c:strCache>
            </c:strRef>
          </c:tx>
          <c:spPr>
            <a:solidFill>
              <a:schemeClr val="accent3"/>
            </a:solidFill>
            <a:ln>
              <a:noFill/>
            </a:ln>
            <a:effectLst/>
            <a:sp3d/>
          </c:spPr>
          <c:invertIfNegative val="0"/>
          <c:cat>
            <c:multiLvlStrRef>
              <c:f>Analysis!$A$75:$A$83</c:f>
              <c:multiLvlStrCache>
                <c:ptCount val="7"/>
                <c:lvl>
                  <c:pt idx="0">
                    <c:v>Sun</c:v>
                  </c:pt>
                  <c:pt idx="1">
                    <c:v>Mon</c:v>
                  </c:pt>
                  <c:pt idx="2">
                    <c:v>Tue</c:v>
                  </c:pt>
                  <c:pt idx="3">
                    <c:v>Wed</c:v>
                  </c:pt>
                  <c:pt idx="4">
                    <c:v>Thu</c:v>
                  </c:pt>
                  <c:pt idx="5">
                    <c:v>Fri</c:v>
                  </c:pt>
                  <c:pt idx="6">
                    <c:v>Sat</c:v>
                  </c:pt>
                </c:lvl>
                <c:lvl>
                  <c:pt idx="0">
                    <c:v>Channel O</c:v>
                  </c:pt>
                </c:lvl>
              </c:multiLvlStrCache>
            </c:multiLvlStrRef>
          </c:cat>
          <c:val>
            <c:numRef>
              <c:f>Analysis!$D$75:$D$83</c:f>
              <c:numCache>
                <c:formatCode>#,##0</c:formatCode>
                <c:ptCount val="7"/>
                <c:pt idx="1">
                  <c:v>793592</c:v>
                </c:pt>
                <c:pt idx="4">
                  <c:v>1452926</c:v>
                </c:pt>
                <c:pt idx="5">
                  <c:v>1717034</c:v>
                </c:pt>
                <c:pt idx="6">
                  <c:v>778615</c:v>
                </c:pt>
              </c:numCache>
            </c:numRef>
          </c:val>
          <c:extLst>
            <c:ext xmlns:c16="http://schemas.microsoft.com/office/drawing/2014/chart" uri="{C3380CC4-5D6E-409C-BE32-E72D297353CC}">
              <c16:uniqueId val="{00000012-08AC-45AF-A700-35A7E53EDF28}"/>
            </c:ext>
          </c:extLst>
        </c:ser>
        <c:dLbls>
          <c:showLegendKey val="0"/>
          <c:showVal val="0"/>
          <c:showCatName val="0"/>
          <c:showSerName val="0"/>
          <c:showPercent val="0"/>
          <c:showBubbleSize val="0"/>
        </c:dLbls>
        <c:gapWidth val="150"/>
        <c:shape val="box"/>
        <c:axId val="796660447"/>
        <c:axId val="798447151"/>
        <c:axId val="0"/>
      </c:bar3DChart>
      <c:catAx>
        <c:axId val="79666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98447151"/>
        <c:crosses val="autoZero"/>
        <c:auto val="1"/>
        <c:lblAlgn val="ctr"/>
        <c:lblOffset val="100"/>
        <c:noMultiLvlLbl val="0"/>
      </c:catAx>
      <c:valAx>
        <c:axId val="798447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ZA" baseline="0">
                    <a:solidFill>
                      <a:schemeClr val="tx1"/>
                    </a:solidFill>
                  </a:rPr>
                  <a:t>Users </a:t>
                </a:r>
                <a:endParaRPr lang="en-ZA">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ZA"/>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9666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charts).xlsx]Analysis!PivotTable12</c:name>
    <c:fmtId val="25"/>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Sum</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of total hours per day</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8.8980323179853021E-2"/>
          <c:y val="3.743624197146006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Analysis!$B$85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D9-4DDA-A506-B57A3615E7B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D9-4DDA-A506-B57A3615E7B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D9-4DDA-A506-B57A3615E7B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2D9-4DDA-A506-B57A3615E7B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2D9-4DDA-A506-B57A3615E7B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2D9-4DDA-A506-B57A3615E7B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2D9-4DDA-A506-B57A3615E7B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Analysis!$A$86:$A$93</c:f>
              <c:strCache>
                <c:ptCount val="7"/>
                <c:pt idx="0">
                  <c:v>Sun</c:v>
                </c:pt>
                <c:pt idx="1">
                  <c:v>Mon</c:v>
                </c:pt>
                <c:pt idx="2">
                  <c:v>Tue</c:v>
                </c:pt>
                <c:pt idx="3">
                  <c:v>Wed</c:v>
                </c:pt>
                <c:pt idx="4">
                  <c:v>Thu</c:v>
                </c:pt>
                <c:pt idx="5">
                  <c:v>Fri</c:v>
                </c:pt>
                <c:pt idx="6">
                  <c:v>Sat</c:v>
                </c:pt>
              </c:strCache>
            </c:strRef>
          </c:cat>
          <c:val>
            <c:numRef>
              <c:f>Analysis!$B$86:$B$93</c:f>
              <c:numCache>
                <c:formatCode>#,##0</c:formatCode>
                <c:ptCount val="7"/>
                <c:pt idx="0">
                  <c:v>2104</c:v>
                </c:pt>
                <c:pt idx="1">
                  <c:v>1435</c:v>
                </c:pt>
                <c:pt idx="2">
                  <c:v>1622</c:v>
                </c:pt>
                <c:pt idx="3">
                  <c:v>1820</c:v>
                </c:pt>
                <c:pt idx="4">
                  <c:v>1923</c:v>
                </c:pt>
                <c:pt idx="5">
                  <c:v>1931</c:v>
                </c:pt>
                <c:pt idx="6">
                  <c:v>2337</c:v>
                </c:pt>
              </c:numCache>
            </c:numRef>
          </c:val>
          <c:extLst>
            <c:ext xmlns:c16="http://schemas.microsoft.com/office/drawing/2014/chart" uri="{C3380CC4-5D6E-409C-BE32-E72D297353CC}">
              <c16:uniqueId val="{00000000-BDA7-4908-A7F0-12B1A9DBE7B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charts).xlsx]Analysis!PivotTable5</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Users by time bucket</a:t>
            </a:r>
          </a:p>
        </c:rich>
      </c:tx>
      <c:layout>
        <c:manualLayout>
          <c:xMode val="edge"/>
          <c:yMode val="edge"/>
          <c:x val="0.23935346021445811"/>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Analysis!$B$96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Analysis!$A$97:$A$102</c:f>
              <c:strCache>
                <c:ptCount val="5"/>
                <c:pt idx="0">
                  <c:v>Daytime_viewing</c:v>
                </c:pt>
                <c:pt idx="1">
                  <c:v>Family_time</c:v>
                </c:pt>
                <c:pt idx="2">
                  <c:v>Latenight_viewing</c:v>
                </c:pt>
                <c:pt idx="3">
                  <c:v>Morning_views</c:v>
                </c:pt>
                <c:pt idx="4">
                  <c:v>Night_Owl</c:v>
                </c:pt>
              </c:strCache>
            </c:strRef>
          </c:cat>
          <c:val>
            <c:numRef>
              <c:f>Analysis!$B$97:$B$102</c:f>
              <c:numCache>
                <c:formatCode>#,##0</c:formatCode>
                <c:ptCount val="5"/>
                <c:pt idx="0">
                  <c:v>332247870</c:v>
                </c:pt>
                <c:pt idx="1">
                  <c:v>258276235</c:v>
                </c:pt>
                <c:pt idx="2">
                  <c:v>26506650</c:v>
                </c:pt>
                <c:pt idx="3">
                  <c:v>268871731</c:v>
                </c:pt>
                <c:pt idx="4">
                  <c:v>49950621</c:v>
                </c:pt>
              </c:numCache>
            </c:numRef>
          </c:val>
          <c:extLst>
            <c:ext xmlns:c16="http://schemas.microsoft.com/office/drawing/2014/chart" uri="{C3380CC4-5D6E-409C-BE32-E72D297353CC}">
              <c16:uniqueId val="{00000000-0043-45D4-A22B-23B5655793B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charts).xlsx]Analysis!PivotTable12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Views</a:t>
            </a:r>
            <a:r>
              <a:rPr lang="en-US" baseline="0"/>
              <a:t> by day of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Analysis!$B$85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Analysis!$A$86:$A$93</c:f>
              <c:strCache>
                <c:ptCount val="7"/>
                <c:pt idx="0">
                  <c:v>Sun</c:v>
                </c:pt>
                <c:pt idx="1">
                  <c:v>Mon</c:v>
                </c:pt>
                <c:pt idx="2">
                  <c:v>Tue</c:v>
                </c:pt>
                <c:pt idx="3">
                  <c:v>Wed</c:v>
                </c:pt>
                <c:pt idx="4">
                  <c:v>Thu</c:v>
                </c:pt>
                <c:pt idx="5">
                  <c:v>Fri</c:v>
                </c:pt>
                <c:pt idx="6">
                  <c:v>Sat</c:v>
                </c:pt>
              </c:strCache>
            </c:strRef>
          </c:cat>
          <c:val>
            <c:numRef>
              <c:f>Analysis!$B$86:$B$93</c:f>
              <c:numCache>
                <c:formatCode>#,##0</c:formatCode>
                <c:ptCount val="7"/>
                <c:pt idx="0">
                  <c:v>2104</c:v>
                </c:pt>
                <c:pt idx="1">
                  <c:v>1435</c:v>
                </c:pt>
                <c:pt idx="2">
                  <c:v>1622</c:v>
                </c:pt>
                <c:pt idx="3">
                  <c:v>1820</c:v>
                </c:pt>
                <c:pt idx="4">
                  <c:v>1923</c:v>
                </c:pt>
                <c:pt idx="5">
                  <c:v>1931</c:v>
                </c:pt>
                <c:pt idx="6">
                  <c:v>2337</c:v>
                </c:pt>
              </c:numCache>
            </c:numRef>
          </c:val>
          <c:smooth val="0"/>
          <c:extLst>
            <c:ext xmlns:c16="http://schemas.microsoft.com/office/drawing/2014/chart" uri="{C3380CC4-5D6E-409C-BE32-E72D297353CC}">
              <c16:uniqueId val="{00000000-21A5-42C6-9BDC-1C68309A81D2}"/>
            </c:ext>
          </c:extLst>
        </c:ser>
        <c:dLbls>
          <c:showLegendKey val="0"/>
          <c:showVal val="0"/>
          <c:showCatName val="0"/>
          <c:showSerName val="0"/>
          <c:showPercent val="0"/>
          <c:showBubbleSize val="0"/>
        </c:dLbls>
        <c:marker val="1"/>
        <c:smooth val="0"/>
        <c:axId val="1296132847"/>
        <c:axId val="1296133327"/>
      </c:lineChart>
      <c:catAx>
        <c:axId val="129613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133327"/>
        <c:crosses val="autoZero"/>
        <c:auto val="1"/>
        <c:lblAlgn val="ctr"/>
        <c:lblOffset val="100"/>
        <c:noMultiLvlLbl val="0"/>
      </c:catAx>
      <c:valAx>
        <c:axId val="129613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13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charts).xlsx]Analysis!PivotTable18</c:name>
    <c:fmtId val="3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1958661417323"/>
          <c:y val="2.5428331875182269E-2"/>
          <c:w val="0.7176671177821522"/>
          <c:h val="0.51736694371536895"/>
        </c:manualLayout>
      </c:layout>
      <c:bar3DChart>
        <c:barDir val="col"/>
        <c:grouping val="stacked"/>
        <c:varyColors val="0"/>
        <c:ser>
          <c:idx val="0"/>
          <c:order val="0"/>
          <c:tx>
            <c:strRef>
              <c:f>Analysis!$B$134:$B$135</c:f>
              <c:strCache>
                <c:ptCount val="1"/>
                <c:pt idx="0">
                  <c:v>Sun</c:v>
                </c:pt>
              </c:strCache>
            </c:strRef>
          </c:tx>
          <c:spPr>
            <a:solidFill>
              <a:schemeClr val="accent1"/>
            </a:solidFill>
            <a:ln>
              <a:noFill/>
            </a:ln>
            <a:effectLst/>
            <a:sp3d/>
          </c:spPr>
          <c:invertIfNegative val="0"/>
          <c:cat>
            <c:strRef>
              <c:f>Analysis!$A$136:$A$153</c:f>
              <c:strCache>
                <c:ptCount val="17"/>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MK</c:v>
                </c:pt>
                <c:pt idx="11">
                  <c:v>M-Net</c:v>
                </c:pt>
                <c:pt idx="12">
                  <c:v>SawSee</c:v>
                </c:pt>
                <c:pt idx="13">
                  <c:v>SuperSport Blitz</c:v>
                </c:pt>
                <c:pt idx="14">
                  <c:v>Supersport Live Events</c:v>
                </c:pt>
                <c:pt idx="15">
                  <c:v>Trace TV</c:v>
                </c:pt>
                <c:pt idx="16">
                  <c:v>Vuzu</c:v>
                </c:pt>
              </c:strCache>
            </c:strRef>
          </c:cat>
          <c:val>
            <c:numRef>
              <c:f>Analysis!$B$136:$B$153</c:f>
              <c:numCache>
                <c:formatCode>#,##0</c:formatCode>
                <c:ptCount val="17"/>
                <c:pt idx="0">
                  <c:v>15621214</c:v>
                </c:pt>
                <c:pt idx="1">
                  <c:v>12653728</c:v>
                </c:pt>
                <c:pt idx="2">
                  <c:v>1588528</c:v>
                </c:pt>
                <c:pt idx="3">
                  <c:v>10865647</c:v>
                </c:pt>
                <c:pt idx="4">
                  <c:v>15830387</c:v>
                </c:pt>
                <c:pt idx="5">
                  <c:v>3978491</c:v>
                </c:pt>
                <c:pt idx="7">
                  <c:v>4642199</c:v>
                </c:pt>
                <c:pt idx="8">
                  <c:v>17527550</c:v>
                </c:pt>
                <c:pt idx="10">
                  <c:v>793649</c:v>
                </c:pt>
                <c:pt idx="11">
                  <c:v>3315052</c:v>
                </c:pt>
                <c:pt idx="12">
                  <c:v>3117882</c:v>
                </c:pt>
                <c:pt idx="13">
                  <c:v>9286768</c:v>
                </c:pt>
                <c:pt idx="14">
                  <c:v>26986716</c:v>
                </c:pt>
                <c:pt idx="15">
                  <c:v>8045246</c:v>
                </c:pt>
                <c:pt idx="16">
                  <c:v>3592588</c:v>
                </c:pt>
              </c:numCache>
            </c:numRef>
          </c:val>
          <c:extLst>
            <c:ext xmlns:c16="http://schemas.microsoft.com/office/drawing/2014/chart" uri="{C3380CC4-5D6E-409C-BE32-E72D297353CC}">
              <c16:uniqueId val="{00000000-677A-45CF-AB62-07A0B3A871D0}"/>
            </c:ext>
          </c:extLst>
        </c:ser>
        <c:ser>
          <c:idx val="1"/>
          <c:order val="1"/>
          <c:tx>
            <c:strRef>
              <c:f>Analysis!$C$134:$C$135</c:f>
              <c:strCache>
                <c:ptCount val="1"/>
                <c:pt idx="0">
                  <c:v>Mon</c:v>
                </c:pt>
              </c:strCache>
            </c:strRef>
          </c:tx>
          <c:spPr>
            <a:solidFill>
              <a:schemeClr val="accent2"/>
            </a:solidFill>
            <a:ln>
              <a:noFill/>
            </a:ln>
            <a:effectLst/>
            <a:sp3d/>
          </c:spPr>
          <c:invertIfNegative val="0"/>
          <c:cat>
            <c:strRef>
              <c:f>Analysis!$A$136:$A$153</c:f>
              <c:strCache>
                <c:ptCount val="17"/>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MK</c:v>
                </c:pt>
                <c:pt idx="11">
                  <c:v>M-Net</c:v>
                </c:pt>
                <c:pt idx="12">
                  <c:v>SawSee</c:v>
                </c:pt>
                <c:pt idx="13">
                  <c:v>SuperSport Blitz</c:v>
                </c:pt>
                <c:pt idx="14">
                  <c:v>Supersport Live Events</c:v>
                </c:pt>
                <c:pt idx="15">
                  <c:v>Trace TV</c:v>
                </c:pt>
                <c:pt idx="16">
                  <c:v>Vuzu</c:v>
                </c:pt>
              </c:strCache>
            </c:strRef>
          </c:cat>
          <c:val>
            <c:numRef>
              <c:f>Analysis!$C$136:$C$153</c:f>
              <c:numCache>
                <c:formatCode>#,##0</c:formatCode>
                <c:ptCount val="17"/>
                <c:pt idx="0">
                  <c:v>9041233</c:v>
                </c:pt>
                <c:pt idx="1">
                  <c:v>19364093</c:v>
                </c:pt>
                <c:pt idx="2">
                  <c:v>2255518</c:v>
                </c:pt>
                <c:pt idx="3">
                  <c:v>5622234</c:v>
                </c:pt>
                <c:pt idx="4">
                  <c:v>10760990</c:v>
                </c:pt>
                <c:pt idx="5">
                  <c:v>4728821</c:v>
                </c:pt>
                <c:pt idx="6">
                  <c:v>2337438</c:v>
                </c:pt>
                <c:pt idx="7">
                  <c:v>1618035</c:v>
                </c:pt>
                <c:pt idx="8">
                  <c:v>5698071</c:v>
                </c:pt>
                <c:pt idx="9">
                  <c:v>939622</c:v>
                </c:pt>
                <c:pt idx="12">
                  <c:v>1602776</c:v>
                </c:pt>
                <c:pt idx="13">
                  <c:v>4192191</c:v>
                </c:pt>
                <c:pt idx="14">
                  <c:v>12603787</c:v>
                </c:pt>
                <c:pt idx="15">
                  <c:v>18061831</c:v>
                </c:pt>
              </c:numCache>
            </c:numRef>
          </c:val>
          <c:extLst>
            <c:ext xmlns:c16="http://schemas.microsoft.com/office/drawing/2014/chart" uri="{C3380CC4-5D6E-409C-BE32-E72D297353CC}">
              <c16:uniqueId val="{00000001-677A-45CF-AB62-07A0B3A871D0}"/>
            </c:ext>
          </c:extLst>
        </c:ser>
        <c:ser>
          <c:idx val="2"/>
          <c:order val="2"/>
          <c:tx>
            <c:strRef>
              <c:f>Analysis!$D$134:$D$135</c:f>
              <c:strCache>
                <c:ptCount val="1"/>
                <c:pt idx="0">
                  <c:v>Tue</c:v>
                </c:pt>
              </c:strCache>
            </c:strRef>
          </c:tx>
          <c:spPr>
            <a:solidFill>
              <a:schemeClr val="accent3"/>
            </a:solidFill>
            <a:ln>
              <a:noFill/>
            </a:ln>
            <a:effectLst/>
            <a:sp3d/>
          </c:spPr>
          <c:invertIfNegative val="0"/>
          <c:cat>
            <c:strRef>
              <c:f>Analysis!$A$136:$A$153</c:f>
              <c:strCache>
                <c:ptCount val="17"/>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MK</c:v>
                </c:pt>
                <c:pt idx="11">
                  <c:v>M-Net</c:v>
                </c:pt>
                <c:pt idx="12">
                  <c:v>SawSee</c:v>
                </c:pt>
                <c:pt idx="13">
                  <c:v>SuperSport Blitz</c:v>
                </c:pt>
                <c:pt idx="14">
                  <c:v>Supersport Live Events</c:v>
                </c:pt>
                <c:pt idx="15">
                  <c:v>Trace TV</c:v>
                </c:pt>
                <c:pt idx="16">
                  <c:v>Vuzu</c:v>
                </c:pt>
              </c:strCache>
            </c:strRef>
          </c:cat>
          <c:val>
            <c:numRef>
              <c:f>Analysis!$D$136:$D$153</c:f>
              <c:numCache>
                <c:formatCode>#,##0</c:formatCode>
                <c:ptCount val="17"/>
                <c:pt idx="0">
                  <c:v>5730789</c:v>
                </c:pt>
                <c:pt idx="1">
                  <c:v>4548167</c:v>
                </c:pt>
                <c:pt idx="2">
                  <c:v>808945</c:v>
                </c:pt>
                <c:pt idx="3">
                  <c:v>8828808</c:v>
                </c:pt>
                <c:pt idx="4">
                  <c:v>18141035</c:v>
                </c:pt>
                <c:pt idx="5">
                  <c:v>1678071</c:v>
                </c:pt>
                <c:pt idx="7">
                  <c:v>4223408</c:v>
                </c:pt>
                <c:pt idx="8">
                  <c:v>26312053</c:v>
                </c:pt>
                <c:pt idx="9">
                  <c:v>817317</c:v>
                </c:pt>
                <c:pt idx="12">
                  <c:v>2419137</c:v>
                </c:pt>
                <c:pt idx="13">
                  <c:v>15184445</c:v>
                </c:pt>
                <c:pt idx="14">
                  <c:v>10246740</c:v>
                </c:pt>
                <c:pt idx="15">
                  <c:v>17365135</c:v>
                </c:pt>
              </c:numCache>
            </c:numRef>
          </c:val>
          <c:extLst>
            <c:ext xmlns:c16="http://schemas.microsoft.com/office/drawing/2014/chart" uri="{C3380CC4-5D6E-409C-BE32-E72D297353CC}">
              <c16:uniqueId val="{00000002-677A-45CF-AB62-07A0B3A871D0}"/>
            </c:ext>
          </c:extLst>
        </c:ser>
        <c:ser>
          <c:idx val="3"/>
          <c:order val="3"/>
          <c:tx>
            <c:strRef>
              <c:f>Analysis!$E$134:$E$135</c:f>
              <c:strCache>
                <c:ptCount val="1"/>
                <c:pt idx="0">
                  <c:v>Wed</c:v>
                </c:pt>
              </c:strCache>
            </c:strRef>
          </c:tx>
          <c:spPr>
            <a:solidFill>
              <a:schemeClr val="accent4"/>
            </a:solidFill>
            <a:ln>
              <a:noFill/>
            </a:ln>
            <a:effectLst/>
            <a:sp3d/>
          </c:spPr>
          <c:invertIfNegative val="0"/>
          <c:cat>
            <c:strRef>
              <c:f>Analysis!$A$136:$A$153</c:f>
              <c:strCache>
                <c:ptCount val="17"/>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MK</c:v>
                </c:pt>
                <c:pt idx="11">
                  <c:v>M-Net</c:v>
                </c:pt>
                <c:pt idx="12">
                  <c:v>SawSee</c:v>
                </c:pt>
                <c:pt idx="13">
                  <c:v>SuperSport Blitz</c:v>
                </c:pt>
                <c:pt idx="14">
                  <c:v>Supersport Live Events</c:v>
                </c:pt>
                <c:pt idx="15">
                  <c:v>Trace TV</c:v>
                </c:pt>
                <c:pt idx="16">
                  <c:v>Vuzu</c:v>
                </c:pt>
              </c:strCache>
            </c:strRef>
          </c:cat>
          <c:val>
            <c:numRef>
              <c:f>Analysis!$E$136:$E$153</c:f>
              <c:numCache>
                <c:formatCode>#,##0</c:formatCode>
                <c:ptCount val="17"/>
                <c:pt idx="0">
                  <c:v>14427124</c:v>
                </c:pt>
                <c:pt idx="1">
                  <c:v>10642096</c:v>
                </c:pt>
                <c:pt idx="3">
                  <c:v>5814224</c:v>
                </c:pt>
                <c:pt idx="4">
                  <c:v>16357181</c:v>
                </c:pt>
                <c:pt idx="5">
                  <c:v>4396216</c:v>
                </c:pt>
                <c:pt idx="6">
                  <c:v>1984230</c:v>
                </c:pt>
                <c:pt idx="7">
                  <c:v>1719086</c:v>
                </c:pt>
                <c:pt idx="8">
                  <c:v>42245922</c:v>
                </c:pt>
                <c:pt idx="9">
                  <c:v>939570</c:v>
                </c:pt>
                <c:pt idx="11">
                  <c:v>3027504</c:v>
                </c:pt>
                <c:pt idx="12">
                  <c:v>5775926</c:v>
                </c:pt>
                <c:pt idx="13">
                  <c:v>11881390</c:v>
                </c:pt>
                <c:pt idx="14">
                  <c:v>2580547</c:v>
                </c:pt>
                <c:pt idx="15">
                  <c:v>15362708</c:v>
                </c:pt>
                <c:pt idx="16">
                  <c:v>939624</c:v>
                </c:pt>
              </c:numCache>
            </c:numRef>
          </c:val>
          <c:extLst>
            <c:ext xmlns:c16="http://schemas.microsoft.com/office/drawing/2014/chart" uri="{C3380CC4-5D6E-409C-BE32-E72D297353CC}">
              <c16:uniqueId val="{00000003-677A-45CF-AB62-07A0B3A871D0}"/>
            </c:ext>
          </c:extLst>
        </c:ser>
        <c:ser>
          <c:idx val="4"/>
          <c:order val="4"/>
          <c:tx>
            <c:strRef>
              <c:f>Analysis!$F$134:$F$135</c:f>
              <c:strCache>
                <c:ptCount val="1"/>
                <c:pt idx="0">
                  <c:v>Thu</c:v>
                </c:pt>
              </c:strCache>
            </c:strRef>
          </c:tx>
          <c:spPr>
            <a:solidFill>
              <a:schemeClr val="accent5"/>
            </a:solidFill>
            <a:ln>
              <a:noFill/>
            </a:ln>
            <a:effectLst/>
            <a:sp3d/>
          </c:spPr>
          <c:invertIfNegative val="0"/>
          <c:cat>
            <c:strRef>
              <c:f>Analysis!$A$136:$A$153</c:f>
              <c:strCache>
                <c:ptCount val="17"/>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MK</c:v>
                </c:pt>
                <c:pt idx="11">
                  <c:v>M-Net</c:v>
                </c:pt>
                <c:pt idx="12">
                  <c:v>SawSee</c:v>
                </c:pt>
                <c:pt idx="13">
                  <c:v>SuperSport Blitz</c:v>
                </c:pt>
                <c:pt idx="14">
                  <c:v>Supersport Live Events</c:v>
                </c:pt>
                <c:pt idx="15">
                  <c:v>Trace TV</c:v>
                </c:pt>
                <c:pt idx="16">
                  <c:v>Vuzu</c:v>
                </c:pt>
              </c:strCache>
            </c:strRef>
          </c:cat>
          <c:val>
            <c:numRef>
              <c:f>Analysis!$F$136:$F$153</c:f>
              <c:numCache>
                <c:formatCode>#,##0</c:formatCode>
                <c:ptCount val="17"/>
                <c:pt idx="0">
                  <c:v>12644323</c:v>
                </c:pt>
                <c:pt idx="1">
                  <c:v>15034478</c:v>
                </c:pt>
                <c:pt idx="2">
                  <c:v>771848</c:v>
                </c:pt>
                <c:pt idx="3">
                  <c:v>11465408</c:v>
                </c:pt>
                <c:pt idx="4">
                  <c:v>14683573</c:v>
                </c:pt>
                <c:pt idx="5">
                  <c:v>6120534</c:v>
                </c:pt>
                <c:pt idx="6">
                  <c:v>2368559</c:v>
                </c:pt>
                <c:pt idx="7">
                  <c:v>3487376</c:v>
                </c:pt>
                <c:pt idx="8">
                  <c:v>4007099</c:v>
                </c:pt>
                <c:pt idx="9">
                  <c:v>930015</c:v>
                </c:pt>
                <c:pt idx="10">
                  <c:v>809008</c:v>
                </c:pt>
                <c:pt idx="11">
                  <c:v>2376190</c:v>
                </c:pt>
                <c:pt idx="12">
                  <c:v>1631376</c:v>
                </c:pt>
                <c:pt idx="13">
                  <c:v>11684569</c:v>
                </c:pt>
                <c:pt idx="14">
                  <c:v>25042414</c:v>
                </c:pt>
                <c:pt idx="15">
                  <c:v>13960943</c:v>
                </c:pt>
                <c:pt idx="16">
                  <c:v>3952087</c:v>
                </c:pt>
              </c:numCache>
            </c:numRef>
          </c:val>
          <c:extLst>
            <c:ext xmlns:c16="http://schemas.microsoft.com/office/drawing/2014/chart" uri="{C3380CC4-5D6E-409C-BE32-E72D297353CC}">
              <c16:uniqueId val="{00000004-677A-45CF-AB62-07A0B3A871D0}"/>
            </c:ext>
          </c:extLst>
        </c:ser>
        <c:ser>
          <c:idx val="5"/>
          <c:order val="5"/>
          <c:tx>
            <c:strRef>
              <c:f>Analysis!$G$134:$G$135</c:f>
              <c:strCache>
                <c:ptCount val="1"/>
                <c:pt idx="0">
                  <c:v>Fri</c:v>
                </c:pt>
              </c:strCache>
            </c:strRef>
          </c:tx>
          <c:spPr>
            <a:solidFill>
              <a:schemeClr val="accent6"/>
            </a:solidFill>
            <a:ln>
              <a:noFill/>
            </a:ln>
            <a:effectLst/>
            <a:sp3d/>
          </c:spPr>
          <c:invertIfNegative val="0"/>
          <c:cat>
            <c:strRef>
              <c:f>Analysis!$A$136:$A$153</c:f>
              <c:strCache>
                <c:ptCount val="17"/>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MK</c:v>
                </c:pt>
                <c:pt idx="11">
                  <c:v>M-Net</c:v>
                </c:pt>
                <c:pt idx="12">
                  <c:v>SawSee</c:v>
                </c:pt>
                <c:pt idx="13">
                  <c:v>SuperSport Blitz</c:v>
                </c:pt>
                <c:pt idx="14">
                  <c:v>Supersport Live Events</c:v>
                </c:pt>
                <c:pt idx="15">
                  <c:v>Trace TV</c:v>
                </c:pt>
                <c:pt idx="16">
                  <c:v>Vuzu</c:v>
                </c:pt>
              </c:strCache>
            </c:strRef>
          </c:cat>
          <c:val>
            <c:numRef>
              <c:f>Analysis!$G$136:$G$153</c:f>
              <c:numCache>
                <c:formatCode>#,##0</c:formatCode>
                <c:ptCount val="17"/>
                <c:pt idx="0">
                  <c:v>13362028</c:v>
                </c:pt>
                <c:pt idx="1">
                  <c:v>7299047</c:v>
                </c:pt>
                <c:pt idx="3">
                  <c:v>10716735</c:v>
                </c:pt>
                <c:pt idx="4">
                  <c:v>21223781</c:v>
                </c:pt>
                <c:pt idx="5">
                  <c:v>10751119</c:v>
                </c:pt>
                <c:pt idx="6">
                  <c:v>597268</c:v>
                </c:pt>
                <c:pt idx="7">
                  <c:v>3619171</c:v>
                </c:pt>
                <c:pt idx="8">
                  <c:v>17648657</c:v>
                </c:pt>
                <c:pt idx="9">
                  <c:v>808984</c:v>
                </c:pt>
                <c:pt idx="11">
                  <c:v>1589194</c:v>
                </c:pt>
                <c:pt idx="12">
                  <c:v>2360982</c:v>
                </c:pt>
                <c:pt idx="13">
                  <c:v>11258613</c:v>
                </c:pt>
                <c:pt idx="14">
                  <c:v>28857281</c:v>
                </c:pt>
                <c:pt idx="15">
                  <c:v>13008334</c:v>
                </c:pt>
              </c:numCache>
            </c:numRef>
          </c:val>
          <c:extLst>
            <c:ext xmlns:c16="http://schemas.microsoft.com/office/drawing/2014/chart" uri="{C3380CC4-5D6E-409C-BE32-E72D297353CC}">
              <c16:uniqueId val="{00000005-677A-45CF-AB62-07A0B3A871D0}"/>
            </c:ext>
          </c:extLst>
        </c:ser>
        <c:ser>
          <c:idx val="6"/>
          <c:order val="6"/>
          <c:tx>
            <c:strRef>
              <c:f>Analysis!$H$134:$H$135</c:f>
              <c:strCache>
                <c:ptCount val="1"/>
                <c:pt idx="0">
                  <c:v>Sat</c:v>
                </c:pt>
              </c:strCache>
            </c:strRef>
          </c:tx>
          <c:spPr>
            <a:solidFill>
              <a:schemeClr val="accent1">
                <a:lumMod val="60000"/>
              </a:schemeClr>
            </a:solidFill>
            <a:ln>
              <a:noFill/>
            </a:ln>
            <a:effectLst/>
            <a:sp3d/>
          </c:spPr>
          <c:invertIfNegative val="0"/>
          <c:cat>
            <c:strRef>
              <c:f>Analysis!$A$136:$A$153</c:f>
              <c:strCache>
                <c:ptCount val="17"/>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MK</c:v>
                </c:pt>
                <c:pt idx="11">
                  <c:v>M-Net</c:v>
                </c:pt>
                <c:pt idx="12">
                  <c:v>SawSee</c:v>
                </c:pt>
                <c:pt idx="13">
                  <c:v>SuperSport Blitz</c:v>
                </c:pt>
                <c:pt idx="14">
                  <c:v>Supersport Live Events</c:v>
                </c:pt>
                <c:pt idx="15">
                  <c:v>Trace TV</c:v>
                </c:pt>
                <c:pt idx="16">
                  <c:v>Vuzu</c:v>
                </c:pt>
              </c:strCache>
            </c:strRef>
          </c:cat>
          <c:val>
            <c:numRef>
              <c:f>Analysis!$H$136:$H$153</c:f>
              <c:numCache>
                <c:formatCode>#,##0</c:formatCode>
                <c:ptCount val="17"/>
                <c:pt idx="0">
                  <c:v>14460244</c:v>
                </c:pt>
                <c:pt idx="1">
                  <c:v>13845211</c:v>
                </c:pt>
                <c:pt idx="2">
                  <c:v>1629430</c:v>
                </c:pt>
                <c:pt idx="3">
                  <c:v>13501773</c:v>
                </c:pt>
                <c:pt idx="4">
                  <c:v>12986378</c:v>
                </c:pt>
                <c:pt idx="5">
                  <c:v>6555821</c:v>
                </c:pt>
                <c:pt idx="6">
                  <c:v>1618067</c:v>
                </c:pt>
                <c:pt idx="7">
                  <c:v>1844008</c:v>
                </c:pt>
                <c:pt idx="8">
                  <c:v>16271585</c:v>
                </c:pt>
                <c:pt idx="10">
                  <c:v>866195</c:v>
                </c:pt>
                <c:pt idx="11">
                  <c:v>764429</c:v>
                </c:pt>
                <c:pt idx="12">
                  <c:v>4096900</c:v>
                </c:pt>
                <c:pt idx="13">
                  <c:v>21977575</c:v>
                </c:pt>
                <c:pt idx="14">
                  <c:v>43882560</c:v>
                </c:pt>
                <c:pt idx="15">
                  <c:v>13844526</c:v>
                </c:pt>
                <c:pt idx="16">
                  <c:v>2567728</c:v>
                </c:pt>
              </c:numCache>
            </c:numRef>
          </c:val>
          <c:extLst>
            <c:ext xmlns:c16="http://schemas.microsoft.com/office/drawing/2014/chart" uri="{C3380CC4-5D6E-409C-BE32-E72D297353CC}">
              <c16:uniqueId val="{00000006-677A-45CF-AB62-07A0B3A871D0}"/>
            </c:ext>
          </c:extLst>
        </c:ser>
        <c:dLbls>
          <c:showLegendKey val="0"/>
          <c:showVal val="0"/>
          <c:showCatName val="0"/>
          <c:showSerName val="0"/>
          <c:showPercent val="0"/>
          <c:showBubbleSize val="0"/>
        </c:dLbls>
        <c:gapWidth val="150"/>
        <c:shape val="box"/>
        <c:axId val="1250562927"/>
        <c:axId val="1250564847"/>
        <c:axId val="0"/>
      </c:bar3DChart>
      <c:catAx>
        <c:axId val="125056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564847"/>
        <c:crosses val="autoZero"/>
        <c:auto val="1"/>
        <c:lblAlgn val="ctr"/>
        <c:lblOffset val="100"/>
        <c:noMultiLvlLbl val="0"/>
      </c:catAx>
      <c:valAx>
        <c:axId val="1250564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56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charts).xlsx]Analysis!PivotTable24</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users by age bucket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Analysis!$B$155</c:f>
              <c:strCache>
                <c:ptCount val="1"/>
                <c:pt idx="0">
                  <c:v>Total</c:v>
                </c:pt>
              </c:strCache>
            </c:strRef>
          </c:tx>
          <c:spPr>
            <a:solidFill>
              <a:schemeClr val="accent1"/>
            </a:solidFill>
            <a:ln>
              <a:noFill/>
            </a:ln>
            <a:effectLst/>
          </c:spPr>
          <c:cat>
            <c:strRef>
              <c:f>Analysis!$A$156:$A$162</c:f>
              <c:strCache>
                <c:ptCount val="6"/>
                <c:pt idx="0">
                  <c:v>Youth</c:v>
                </c:pt>
                <c:pt idx="1">
                  <c:v>Young_adult</c:v>
                </c:pt>
                <c:pt idx="2">
                  <c:v>Adults</c:v>
                </c:pt>
                <c:pt idx="3">
                  <c:v>Senior_citizens</c:v>
                </c:pt>
                <c:pt idx="4">
                  <c:v>Under_18</c:v>
                </c:pt>
                <c:pt idx="5">
                  <c:v>Pensioners</c:v>
                </c:pt>
              </c:strCache>
            </c:strRef>
          </c:cat>
          <c:val>
            <c:numRef>
              <c:f>Analysis!$B$156:$B$162</c:f>
              <c:numCache>
                <c:formatCode>#,##0</c:formatCode>
                <c:ptCount val="6"/>
                <c:pt idx="0">
                  <c:v>347898972</c:v>
                </c:pt>
                <c:pt idx="1">
                  <c:v>294135582</c:v>
                </c:pt>
                <c:pt idx="2">
                  <c:v>157413456</c:v>
                </c:pt>
                <c:pt idx="3">
                  <c:v>76774582</c:v>
                </c:pt>
                <c:pt idx="4">
                  <c:v>57193115</c:v>
                </c:pt>
                <c:pt idx="5">
                  <c:v>2437400</c:v>
                </c:pt>
              </c:numCache>
            </c:numRef>
          </c:val>
          <c:extLst>
            <c:ext xmlns:c16="http://schemas.microsoft.com/office/drawing/2014/chart" uri="{C3380CC4-5D6E-409C-BE32-E72D297353CC}">
              <c16:uniqueId val="{00000000-B796-4B37-836F-39B7201D1216}"/>
            </c:ext>
          </c:extLst>
        </c:ser>
        <c:dLbls>
          <c:showLegendKey val="0"/>
          <c:showVal val="0"/>
          <c:showCatName val="0"/>
          <c:showSerName val="0"/>
          <c:showPercent val="0"/>
          <c:showBubbleSize val="0"/>
        </c:dLbls>
        <c:axId val="1016459119"/>
        <c:axId val="1016456239"/>
      </c:areaChart>
      <c:catAx>
        <c:axId val="1016459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456239"/>
        <c:crosses val="autoZero"/>
        <c:auto val="1"/>
        <c:lblAlgn val="ctr"/>
        <c:lblOffset val="100"/>
        <c:noMultiLvlLbl val="0"/>
      </c:catAx>
      <c:valAx>
        <c:axId val="1016456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459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charts).xlsx]Analysis!PivotTable26</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USER</a:t>
            </a:r>
            <a:r>
              <a:rPr lang="en-ZA" baseline="0"/>
              <a:t> OVER TIME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77707332038041"/>
          <c:y val="4.3765097091947175E-2"/>
          <c:w val="0.86575433851115435"/>
          <c:h val="0.526988188976378"/>
        </c:manualLayout>
      </c:layout>
      <c:bar3DChart>
        <c:barDir val="col"/>
        <c:grouping val="stacked"/>
        <c:varyColors val="0"/>
        <c:ser>
          <c:idx val="0"/>
          <c:order val="0"/>
          <c:tx>
            <c:strRef>
              <c:f>Analysis!$B$164:$B$165</c:f>
              <c:strCache>
                <c:ptCount val="1"/>
                <c:pt idx="0">
                  <c:v>Jan</c:v>
                </c:pt>
              </c:strCache>
            </c:strRef>
          </c:tx>
          <c:spPr>
            <a:solidFill>
              <a:schemeClr val="accent1"/>
            </a:solidFill>
            <a:ln>
              <a:noFill/>
            </a:ln>
            <a:effectLst/>
            <a:sp3d/>
          </c:spPr>
          <c:invertIfNegative val="0"/>
          <c:cat>
            <c:strRef>
              <c:f>Analysis!$A$166:$A$183</c:f>
              <c:strCache>
                <c:ptCount val="17"/>
                <c:pt idx="0">
                  <c:v>Supersport Live Events</c:v>
                </c:pt>
                <c:pt idx="1">
                  <c:v>Trace TV</c:v>
                </c:pt>
                <c:pt idx="2">
                  <c:v>Channel O</c:v>
                </c:pt>
                <c:pt idx="3">
                  <c:v>ICC Cricket World Cup 2011</c:v>
                </c:pt>
                <c:pt idx="4">
                  <c:v>SuperSport Blitz</c:v>
                </c:pt>
                <c:pt idx="5">
                  <c:v>Boomerang</c:v>
                </c:pt>
                <c:pt idx="6">
                  <c:v>Africa Magic</c:v>
                </c:pt>
                <c:pt idx="7">
                  <c:v>Cartoon Network</c:v>
                </c:pt>
                <c:pt idx="8">
                  <c:v>CNN</c:v>
                </c:pt>
                <c:pt idx="9">
                  <c:v>E! Entertainment</c:v>
                </c:pt>
                <c:pt idx="10">
                  <c:v>SawSee</c:v>
                </c:pt>
                <c:pt idx="11">
                  <c:v>Vuzu</c:v>
                </c:pt>
                <c:pt idx="12">
                  <c:v>DStv Events 1</c:v>
                </c:pt>
                <c:pt idx="13">
                  <c:v>M-Net</c:v>
                </c:pt>
                <c:pt idx="14">
                  <c:v>Break in transmission</c:v>
                </c:pt>
                <c:pt idx="15">
                  <c:v>kykNET</c:v>
                </c:pt>
                <c:pt idx="16">
                  <c:v>MK</c:v>
                </c:pt>
              </c:strCache>
            </c:strRef>
          </c:cat>
          <c:val>
            <c:numRef>
              <c:f>Analysis!$B$166:$B$183</c:f>
              <c:numCache>
                <c:formatCode>#,##0</c:formatCode>
                <c:ptCount val="17"/>
                <c:pt idx="0">
                  <c:v>411</c:v>
                </c:pt>
                <c:pt idx="1">
                  <c:v>434</c:v>
                </c:pt>
                <c:pt idx="2">
                  <c:v>396</c:v>
                </c:pt>
                <c:pt idx="4">
                  <c:v>332</c:v>
                </c:pt>
                <c:pt idx="5">
                  <c:v>186</c:v>
                </c:pt>
                <c:pt idx="6">
                  <c:v>387</c:v>
                </c:pt>
                <c:pt idx="7">
                  <c:v>287</c:v>
                </c:pt>
                <c:pt idx="8">
                  <c:v>162</c:v>
                </c:pt>
                <c:pt idx="9">
                  <c:v>36</c:v>
                </c:pt>
                <c:pt idx="10">
                  <c:v>91</c:v>
                </c:pt>
                <c:pt idx="11">
                  <c:v>20</c:v>
                </c:pt>
                <c:pt idx="12">
                  <c:v>116</c:v>
                </c:pt>
                <c:pt idx="13">
                  <c:v>27</c:v>
                </c:pt>
              </c:numCache>
            </c:numRef>
          </c:val>
          <c:extLst>
            <c:ext xmlns:c16="http://schemas.microsoft.com/office/drawing/2014/chart" uri="{C3380CC4-5D6E-409C-BE32-E72D297353CC}">
              <c16:uniqueId val="{00000000-E2E5-4631-8490-584483139CD1}"/>
            </c:ext>
          </c:extLst>
        </c:ser>
        <c:ser>
          <c:idx val="1"/>
          <c:order val="1"/>
          <c:tx>
            <c:strRef>
              <c:f>Analysis!$C$164:$C$165</c:f>
              <c:strCache>
                <c:ptCount val="1"/>
                <c:pt idx="0">
                  <c:v>Feb</c:v>
                </c:pt>
              </c:strCache>
            </c:strRef>
          </c:tx>
          <c:spPr>
            <a:solidFill>
              <a:schemeClr val="accent2"/>
            </a:solidFill>
            <a:ln>
              <a:noFill/>
            </a:ln>
            <a:effectLst/>
            <a:sp3d/>
          </c:spPr>
          <c:invertIfNegative val="0"/>
          <c:cat>
            <c:strRef>
              <c:f>Analysis!$A$166:$A$183</c:f>
              <c:strCache>
                <c:ptCount val="17"/>
                <c:pt idx="0">
                  <c:v>Supersport Live Events</c:v>
                </c:pt>
                <c:pt idx="1">
                  <c:v>Trace TV</c:v>
                </c:pt>
                <c:pt idx="2">
                  <c:v>Channel O</c:v>
                </c:pt>
                <c:pt idx="3">
                  <c:v>ICC Cricket World Cup 2011</c:v>
                </c:pt>
                <c:pt idx="4">
                  <c:v>SuperSport Blitz</c:v>
                </c:pt>
                <c:pt idx="5">
                  <c:v>Boomerang</c:v>
                </c:pt>
                <c:pt idx="6">
                  <c:v>Africa Magic</c:v>
                </c:pt>
                <c:pt idx="7">
                  <c:v>Cartoon Network</c:v>
                </c:pt>
                <c:pt idx="8">
                  <c:v>CNN</c:v>
                </c:pt>
                <c:pt idx="9">
                  <c:v>E! Entertainment</c:v>
                </c:pt>
                <c:pt idx="10">
                  <c:v>SawSee</c:v>
                </c:pt>
                <c:pt idx="11">
                  <c:v>Vuzu</c:v>
                </c:pt>
                <c:pt idx="12">
                  <c:v>DStv Events 1</c:v>
                </c:pt>
                <c:pt idx="13">
                  <c:v>M-Net</c:v>
                </c:pt>
                <c:pt idx="14">
                  <c:v>Break in transmission</c:v>
                </c:pt>
                <c:pt idx="15">
                  <c:v>kykNET</c:v>
                </c:pt>
                <c:pt idx="16">
                  <c:v>MK</c:v>
                </c:pt>
              </c:strCache>
            </c:strRef>
          </c:cat>
          <c:val>
            <c:numRef>
              <c:f>Analysis!$C$166:$C$183</c:f>
              <c:numCache>
                <c:formatCode>#,##0</c:formatCode>
                <c:ptCount val="17"/>
                <c:pt idx="0">
                  <c:v>730</c:v>
                </c:pt>
                <c:pt idx="1">
                  <c:v>397</c:v>
                </c:pt>
                <c:pt idx="2">
                  <c:v>495</c:v>
                </c:pt>
                <c:pt idx="3">
                  <c:v>292</c:v>
                </c:pt>
                <c:pt idx="4">
                  <c:v>351</c:v>
                </c:pt>
                <c:pt idx="5">
                  <c:v>403</c:v>
                </c:pt>
                <c:pt idx="6">
                  <c:v>262</c:v>
                </c:pt>
                <c:pt idx="7">
                  <c:v>393</c:v>
                </c:pt>
                <c:pt idx="8">
                  <c:v>120</c:v>
                </c:pt>
                <c:pt idx="9">
                  <c:v>102</c:v>
                </c:pt>
                <c:pt idx="10">
                  <c:v>124</c:v>
                </c:pt>
                <c:pt idx="11">
                  <c:v>22</c:v>
                </c:pt>
                <c:pt idx="12">
                  <c:v>10</c:v>
                </c:pt>
                <c:pt idx="13">
                  <c:v>61</c:v>
                </c:pt>
                <c:pt idx="14">
                  <c:v>62</c:v>
                </c:pt>
                <c:pt idx="15">
                  <c:v>31</c:v>
                </c:pt>
              </c:numCache>
            </c:numRef>
          </c:val>
          <c:extLst>
            <c:ext xmlns:c16="http://schemas.microsoft.com/office/drawing/2014/chart" uri="{C3380CC4-5D6E-409C-BE32-E72D297353CC}">
              <c16:uniqueId val="{00000012-E2E5-4631-8490-584483139CD1}"/>
            </c:ext>
          </c:extLst>
        </c:ser>
        <c:ser>
          <c:idx val="2"/>
          <c:order val="2"/>
          <c:tx>
            <c:strRef>
              <c:f>Analysis!$D$164:$D$165</c:f>
              <c:strCache>
                <c:ptCount val="1"/>
                <c:pt idx="0">
                  <c:v>Mar</c:v>
                </c:pt>
              </c:strCache>
            </c:strRef>
          </c:tx>
          <c:spPr>
            <a:solidFill>
              <a:schemeClr val="accent3"/>
            </a:solidFill>
            <a:ln>
              <a:noFill/>
            </a:ln>
            <a:effectLst/>
            <a:sp3d/>
          </c:spPr>
          <c:invertIfNegative val="0"/>
          <c:cat>
            <c:strRef>
              <c:f>Analysis!$A$166:$A$183</c:f>
              <c:strCache>
                <c:ptCount val="17"/>
                <c:pt idx="0">
                  <c:v>Supersport Live Events</c:v>
                </c:pt>
                <c:pt idx="1">
                  <c:v>Trace TV</c:v>
                </c:pt>
                <c:pt idx="2">
                  <c:v>Channel O</c:v>
                </c:pt>
                <c:pt idx="3">
                  <c:v>ICC Cricket World Cup 2011</c:v>
                </c:pt>
                <c:pt idx="4">
                  <c:v>SuperSport Blitz</c:v>
                </c:pt>
                <c:pt idx="5">
                  <c:v>Boomerang</c:v>
                </c:pt>
                <c:pt idx="6">
                  <c:v>Africa Magic</c:v>
                </c:pt>
                <c:pt idx="7">
                  <c:v>Cartoon Network</c:v>
                </c:pt>
                <c:pt idx="8">
                  <c:v>CNN</c:v>
                </c:pt>
                <c:pt idx="9">
                  <c:v>E! Entertainment</c:v>
                </c:pt>
                <c:pt idx="10">
                  <c:v>SawSee</c:v>
                </c:pt>
                <c:pt idx="11">
                  <c:v>Vuzu</c:v>
                </c:pt>
                <c:pt idx="12">
                  <c:v>DStv Events 1</c:v>
                </c:pt>
                <c:pt idx="13">
                  <c:v>M-Net</c:v>
                </c:pt>
                <c:pt idx="14">
                  <c:v>Break in transmission</c:v>
                </c:pt>
                <c:pt idx="15">
                  <c:v>kykNET</c:v>
                </c:pt>
                <c:pt idx="16">
                  <c:v>MK</c:v>
                </c:pt>
              </c:strCache>
            </c:strRef>
          </c:cat>
          <c:val>
            <c:numRef>
              <c:f>Analysis!$D$166:$D$183</c:f>
              <c:numCache>
                <c:formatCode>#,##0</c:formatCode>
                <c:ptCount val="17"/>
                <c:pt idx="0">
                  <c:v>945</c:v>
                </c:pt>
                <c:pt idx="1">
                  <c:v>756</c:v>
                </c:pt>
                <c:pt idx="2">
                  <c:v>613</c:v>
                </c:pt>
                <c:pt idx="3">
                  <c:v>1123</c:v>
                </c:pt>
                <c:pt idx="4">
                  <c:v>556</c:v>
                </c:pt>
                <c:pt idx="5">
                  <c:v>614</c:v>
                </c:pt>
                <c:pt idx="6">
                  <c:v>492</c:v>
                </c:pt>
                <c:pt idx="7">
                  <c:v>433</c:v>
                </c:pt>
                <c:pt idx="8">
                  <c:v>260</c:v>
                </c:pt>
                <c:pt idx="9">
                  <c:v>206</c:v>
                </c:pt>
                <c:pt idx="10">
                  <c:v>117</c:v>
                </c:pt>
                <c:pt idx="11">
                  <c:v>123</c:v>
                </c:pt>
                <c:pt idx="12">
                  <c:v>28</c:v>
                </c:pt>
                <c:pt idx="13">
                  <c:v>64</c:v>
                </c:pt>
                <c:pt idx="14">
                  <c:v>19</c:v>
                </c:pt>
                <c:pt idx="15">
                  <c:v>44</c:v>
                </c:pt>
                <c:pt idx="16">
                  <c:v>39</c:v>
                </c:pt>
              </c:numCache>
            </c:numRef>
          </c:val>
          <c:extLst>
            <c:ext xmlns:c16="http://schemas.microsoft.com/office/drawing/2014/chart" uri="{C3380CC4-5D6E-409C-BE32-E72D297353CC}">
              <c16:uniqueId val="{00000013-E2E5-4631-8490-584483139CD1}"/>
            </c:ext>
          </c:extLst>
        </c:ser>
        <c:dLbls>
          <c:showLegendKey val="0"/>
          <c:showVal val="0"/>
          <c:showCatName val="0"/>
          <c:showSerName val="0"/>
          <c:showPercent val="0"/>
          <c:showBubbleSize val="0"/>
        </c:dLbls>
        <c:gapWidth val="150"/>
        <c:shape val="box"/>
        <c:axId val="1449584079"/>
        <c:axId val="1449581199"/>
        <c:axId val="0"/>
      </c:bar3DChart>
      <c:catAx>
        <c:axId val="1449584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581199"/>
        <c:crosses val="autoZero"/>
        <c:auto val="1"/>
        <c:lblAlgn val="ctr"/>
        <c:lblOffset val="100"/>
        <c:noMultiLvlLbl val="0"/>
      </c:catAx>
      <c:valAx>
        <c:axId val="1449581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58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charts).xlsx]Analysis!PivotTable31</c:name>
    <c:fmtId val="4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TOtotal</a:t>
            </a:r>
            <a:r>
              <a:rPr lang="en-US" baseline="0"/>
              <a:t> users joined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Analysis!$F$156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Analysis!$E$157:$E$160</c:f>
              <c:strCache>
                <c:ptCount val="3"/>
                <c:pt idx="0">
                  <c:v>Jan</c:v>
                </c:pt>
                <c:pt idx="1">
                  <c:v>Feb</c:v>
                </c:pt>
                <c:pt idx="2">
                  <c:v>Mar</c:v>
                </c:pt>
              </c:strCache>
            </c:strRef>
          </c:cat>
          <c:val>
            <c:numRef>
              <c:f>Analysis!$F$157:$F$160</c:f>
              <c:numCache>
                <c:formatCode>#,##0</c:formatCode>
                <c:ptCount val="3"/>
                <c:pt idx="0">
                  <c:v>182025710</c:v>
                </c:pt>
                <c:pt idx="1">
                  <c:v>273012651</c:v>
                </c:pt>
                <c:pt idx="2">
                  <c:v>480814746</c:v>
                </c:pt>
              </c:numCache>
            </c:numRef>
          </c:val>
          <c:extLst>
            <c:ext xmlns:c16="http://schemas.microsoft.com/office/drawing/2014/chart" uri="{C3380CC4-5D6E-409C-BE32-E72D297353CC}">
              <c16:uniqueId val="{00000000-FCF8-470B-B298-C3606054CE6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[Bright_tv_viewership_analysis(With charts).xlsx]Analysis!PivotTable6</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Analysis!$B$32</c:f>
              <c:strCache>
                <c:ptCount val="1"/>
                <c:pt idx="0">
                  <c:v>Total</c:v>
                </c:pt>
              </c:strCache>
            </c:strRef>
          </c:tx>
          <c:spPr>
            <a:solidFill>
              <a:schemeClr val="accent1"/>
            </a:solidFill>
            <a:ln>
              <a:noFill/>
            </a:ln>
            <a:effectLst/>
          </c:spPr>
          <c:invertIfNegative val="0"/>
          <c:cat>
            <c:strRef>
              <c:f>Analysis!$A$33:$A$45</c:f>
              <c:strCache>
                <c:ptCount val="12"/>
                <c:pt idx="0">
                  <c:v>ICC Cricket World Cup 2011</c:v>
                </c:pt>
                <c:pt idx="1">
                  <c:v>Channel O</c:v>
                </c:pt>
                <c:pt idx="2">
                  <c:v>Africa Magic</c:v>
                </c:pt>
                <c:pt idx="3">
                  <c:v>Boomerang</c:v>
                </c:pt>
                <c:pt idx="4">
                  <c:v>Cartoon Network</c:v>
                </c:pt>
                <c:pt idx="5">
                  <c:v>CNN</c:v>
                </c:pt>
                <c:pt idx="6">
                  <c:v>E! Entertainment</c:v>
                </c:pt>
                <c:pt idx="7">
                  <c:v>M-Net</c:v>
                </c:pt>
                <c:pt idx="8">
                  <c:v>DStv Events 1</c:v>
                </c:pt>
                <c:pt idx="9">
                  <c:v>Break in transmission</c:v>
                </c:pt>
                <c:pt idx="10">
                  <c:v>kykNET</c:v>
                </c:pt>
                <c:pt idx="11">
                  <c:v>MK</c:v>
                </c:pt>
              </c:strCache>
            </c:strRef>
          </c:cat>
          <c:val>
            <c:numRef>
              <c:f>Analysis!$B$33:$B$45</c:f>
              <c:numCache>
                <c:formatCode>#,##0</c:formatCode>
                <c:ptCount val="12"/>
                <c:pt idx="0">
                  <c:v>129710937</c:v>
                </c:pt>
                <c:pt idx="1">
                  <c:v>109983325</c:v>
                </c:pt>
                <c:pt idx="2">
                  <c:v>85286955</c:v>
                </c:pt>
                <c:pt idx="3">
                  <c:v>83386820</c:v>
                </c:pt>
                <c:pt idx="4">
                  <c:v>66814829</c:v>
                </c:pt>
                <c:pt idx="5">
                  <c:v>38209073</c:v>
                </c:pt>
                <c:pt idx="6">
                  <c:v>21153283</c:v>
                </c:pt>
                <c:pt idx="7">
                  <c:v>11072369</c:v>
                </c:pt>
                <c:pt idx="8">
                  <c:v>8905562</c:v>
                </c:pt>
                <c:pt idx="9">
                  <c:v>7054269</c:v>
                </c:pt>
                <c:pt idx="10">
                  <c:v>4435508</c:v>
                </c:pt>
                <c:pt idx="11">
                  <c:v>2468852</c:v>
                </c:pt>
              </c:numCache>
            </c:numRef>
          </c:val>
          <c:extLst>
            <c:ext xmlns:c16="http://schemas.microsoft.com/office/drawing/2014/chart" uri="{C3380CC4-5D6E-409C-BE32-E72D297353CC}">
              <c16:uniqueId val="{00000000-F4D0-4820-8AE1-081E15D24791}"/>
            </c:ext>
          </c:extLst>
        </c:ser>
        <c:dLbls>
          <c:showLegendKey val="0"/>
          <c:showVal val="0"/>
          <c:showCatName val="0"/>
          <c:showSerName val="0"/>
          <c:showPercent val="0"/>
          <c:showBubbleSize val="0"/>
        </c:dLbls>
        <c:gapWidth val="219"/>
        <c:overlap val="-27"/>
        <c:axId val="1496159183"/>
        <c:axId val="1496151503"/>
      </c:barChart>
      <c:catAx>
        <c:axId val="149615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151503"/>
        <c:crosses val="autoZero"/>
        <c:auto val="1"/>
        <c:lblAlgn val="ctr"/>
        <c:lblOffset val="100"/>
        <c:noMultiLvlLbl val="0"/>
      </c:catAx>
      <c:valAx>
        <c:axId val="1496151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15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cx:f>
      </cx:strDim>
      <cx:numDim type="val">
        <cx:f>_xlchart.v2.4</cx:f>
      </cx:numDim>
    </cx:data>
  </cx:chartData>
  <cx:chart>
    <cx:title pos="t" align="ctr" overlay="0">
      <cx:tx>
        <cx:txData>
          <cx:v>Views by chanel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Views by chanel</a:t>
          </a:r>
        </a:p>
      </cx:txPr>
    </cx:title>
    <cx:plotArea>
      <cx:plotAreaRegion>
        <cx:series layoutId="funnel" uniqueId="{457CEC80-8734-42A1-AC3E-853EACB2A04E}">
          <cx:tx>
            <cx:txData>
              <cx:f>_xlchart.v2.2</cx:f>
              <cx:v>Sum of HourOfDay</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5" Type="http://schemas.openxmlformats.org/officeDocument/2006/relationships/chart" Target="../charts/chart14.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533399</xdr:colOff>
      <xdr:row>1</xdr:row>
      <xdr:rowOff>114300</xdr:rowOff>
    </xdr:from>
    <xdr:to>
      <xdr:col>13</xdr:col>
      <xdr:colOff>6350</xdr:colOff>
      <xdr:row>15</xdr:row>
      <xdr:rowOff>33337</xdr:rowOff>
    </xdr:to>
    <xdr:graphicFrame macro="">
      <xdr:nvGraphicFramePr>
        <xdr:cNvPr id="3" name="Chart 2">
          <a:extLst>
            <a:ext uri="{FF2B5EF4-FFF2-40B4-BE49-F238E27FC236}">
              <a16:creationId xmlns:a16="http://schemas.microsoft.com/office/drawing/2014/main" id="{5261B826-77EA-B380-DCD8-AFC6BD62B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327025</xdr:colOff>
      <xdr:row>1</xdr:row>
      <xdr:rowOff>120650</xdr:rowOff>
    </xdr:from>
    <xdr:to>
      <xdr:col>7</xdr:col>
      <xdr:colOff>282575</xdr:colOff>
      <xdr:row>15</xdr:row>
      <xdr:rowOff>142875</xdr:rowOff>
    </xdr:to>
    <xdr:graphicFrame macro="">
      <xdr:nvGraphicFramePr>
        <xdr:cNvPr id="5" name="Chart 4">
          <a:extLst>
            <a:ext uri="{FF2B5EF4-FFF2-40B4-BE49-F238E27FC236}">
              <a16:creationId xmlns:a16="http://schemas.microsoft.com/office/drawing/2014/main" id="{4F98C2E2-9B6E-77BD-BD80-91E52515F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82550</xdr:colOff>
      <xdr:row>17</xdr:row>
      <xdr:rowOff>82550</xdr:rowOff>
    </xdr:from>
    <xdr:to>
      <xdr:col>6</xdr:col>
      <xdr:colOff>635000</xdr:colOff>
      <xdr:row>29</xdr:row>
      <xdr:rowOff>103187</xdr:rowOff>
    </xdr:to>
    <xdr:graphicFrame macro="">
      <xdr:nvGraphicFramePr>
        <xdr:cNvPr id="6" name="Chart 5">
          <a:extLst>
            <a:ext uri="{FF2B5EF4-FFF2-40B4-BE49-F238E27FC236}">
              <a16:creationId xmlns:a16="http://schemas.microsoft.com/office/drawing/2014/main" id="{9EAAA2D0-7950-333B-D305-E72883DD4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85725</xdr:colOff>
      <xdr:row>17</xdr:row>
      <xdr:rowOff>69849</xdr:rowOff>
    </xdr:from>
    <xdr:to>
      <xdr:col>11</xdr:col>
      <xdr:colOff>139700</xdr:colOff>
      <xdr:row>28</xdr:row>
      <xdr:rowOff>92076</xdr:rowOff>
    </xdr:to>
    <xdr:graphicFrame macro="">
      <xdr:nvGraphicFramePr>
        <xdr:cNvPr id="7" name="Chart 6">
          <a:extLst>
            <a:ext uri="{FF2B5EF4-FFF2-40B4-BE49-F238E27FC236}">
              <a16:creationId xmlns:a16="http://schemas.microsoft.com/office/drawing/2014/main" id="{48B7FD9B-308C-AF2B-2B33-F6271AE85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44450</xdr:colOff>
      <xdr:row>29</xdr:row>
      <xdr:rowOff>139700</xdr:rowOff>
    </xdr:from>
    <xdr:to>
      <xdr:col>9</xdr:col>
      <xdr:colOff>44450</xdr:colOff>
      <xdr:row>43</xdr:row>
      <xdr:rowOff>57150</xdr:rowOff>
    </xdr:to>
    <xdr:graphicFrame macro="">
      <xdr:nvGraphicFramePr>
        <xdr:cNvPr id="9" name="Chart 8">
          <a:extLst>
            <a:ext uri="{FF2B5EF4-FFF2-40B4-BE49-F238E27FC236}">
              <a16:creationId xmlns:a16="http://schemas.microsoft.com/office/drawing/2014/main" id="{7F085853-A3BD-BACB-B68E-D1049B817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514350</xdr:colOff>
      <xdr:row>46</xdr:row>
      <xdr:rowOff>69850</xdr:rowOff>
    </xdr:from>
    <xdr:to>
      <xdr:col>15</xdr:col>
      <xdr:colOff>749300</xdr:colOff>
      <xdr:row>56</xdr:row>
      <xdr:rowOff>15874</xdr:rowOff>
    </xdr:to>
    <xdr:graphicFrame macro="">
      <xdr:nvGraphicFramePr>
        <xdr:cNvPr id="11" name="Chart 10">
          <a:extLst>
            <a:ext uri="{FF2B5EF4-FFF2-40B4-BE49-F238E27FC236}">
              <a16:creationId xmlns:a16="http://schemas.microsoft.com/office/drawing/2014/main" id="{379B6C8D-AB33-5854-2444-D66B6EE76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606425</xdr:colOff>
      <xdr:row>32</xdr:row>
      <xdr:rowOff>47625</xdr:rowOff>
    </xdr:from>
    <xdr:to>
      <xdr:col>20</xdr:col>
      <xdr:colOff>158750</xdr:colOff>
      <xdr:row>46</xdr:row>
      <xdr:rowOff>133347</xdr:rowOff>
    </xdr:to>
    <mc:AlternateContent xmlns:mc="http://schemas.openxmlformats.org/markup-compatibility/2006">
      <mc:Choice xmlns:a14="http://schemas.microsoft.com/office/drawing/2010/main" Requires="a14">
        <xdr:graphicFrame macro="">
          <xdr:nvGraphicFramePr>
            <xdr:cNvPr id="13" name="Channel2">
              <a:extLst>
                <a:ext uri="{FF2B5EF4-FFF2-40B4-BE49-F238E27FC236}">
                  <a16:creationId xmlns:a16="http://schemas.microsoft.com/office/drawing/2014/main" id="{00138392-A5EB-B755-1D04-C826B34D67F2}"/>
                </a:ext>
              </a:extLst>
            </xdr:cNvPr>
            <xdr:cNvGraphicFramePr/>
          </xdr:nvGraphicFramePr>
          <xdr:xfrm>
            <a:off x="0" y="0"/>
            <a:ext cx="0" cy="0"/>
          </xdr:xfrm>
          <a:graphic>
            <a:graphicData uri="http://schemas.microsoft.com/office/drawing/2010/slicer">
              <sle:slicer xmlns:sle="http://schemas.microsoft.com/office/drawing/2010/slicer" name="Channel2"/>
            </a:graphicData>
          </a:graphic>
        </xdr:graphicFrame>
      </mc:Choice>
      <mc:Fallback>
        <xdr:sp macro="" textlink="">
          <xdr:nvSpPr>
            <xdr:cNvPr id="0" name=""/>
            <xdr:cNvSpPr>
              <a:spLocks noTextEdit="1"/>
            </xdr:cNvSpPr>
          </xdr:nvSpPr>
          <xdr:spPr>
            <a:xfrm>
              <a:off x="14982825" y="5940425"/>
              <a:ext cx="1825625" cy="266382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298450</xdr:colOff>
      <xdr:row>29</xdr:row>
      <xdr:rowOff>160337</xdr:rowOff>
    </xdr:from>
    <xdr:to>
      <xdr:col>14</xdr:col>
      <xdr:colOff>19050</xdr:colOff>
      <xdr:row>45</xdr:row>
      <xdr:rowOff>4762</xdr:rowOff>
    </xdr:to>
    <xdr:graphicFrame macro="">
      <xdr:nvGraphicFramePr>
        <xdr:cNvPr id="14" name="Chart 13">
          <a:extLst>
            <a:ext uri="{FF2B5EF4-FFF2-40B4-BE49-F238E27FC236}">
              <a16:creationId xmlns:a16="http://schemas.microsoft.com/office/drawing/2014/main" id="{0EB78ECA-9191-903A-CB98-998DFAA4D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165100</xdr:colOff>
      <xdr:row>56</xdr:row>
      <xdr:rowOff>88900</xdr:rowOff>
    </xdr:from>
    <xdr:to>
      <xdr:col>15</xdr:col>
      <xdr:colOff>774700</xdr:colOff>
      <xdr:row>68</xdr:row>
      <xdr:rowOff>146050</xdr:rowOff>
    </xdr:to>
    <xdr:graphicFrame macro="">
      <xdr:nvGraphicFramePr>
        <xdr:cNvPr id="8" name="Chart 7">
          <a:extLst>
            <a:ext uri="{FF2B5EF4-FFF2-40B4-BE49-F238E27FC236}">
              <a16:creationId xmlns:a16="http://schemas.microsoft.com/office/drawing/2014/main" id="{FBCB4FFE-B1A9-CD9C-EC0B-55DFAC93C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539750</xdr:colOff>
      <xdr:row>56</xdr:row>
      <xdr:rowOff>95250</xdr:rowOff>
    </xdr:from>
    <xdr:to>
      <xdr:col>12</xdr:col>
      <xdr:colOff>25400</xdr:colOff>
      <xdr:row>69</xdr:row>
      <xdr:rowOff>19050</xdr:rowOff>
    </xdr:to>
    <xdr:graphicFrame macro="">
      <xdr:nvGraphicFramePr>
        <xdr:cNvPr id="12" name="Chart 11">
          <a:extLst>
            <a:ext uri="{FF2B5EF4-FFF2-40B4-BE49-F238E27FC236}">
              <a16:creationId xmlns:a16="http://schemas.microsoft.com/office/drawing/2014/main" id="{EF2B8FF2-327A-8568-66DA-9D9D190BA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428625</xdr:colOff>
      <xdr:row>69</xdr:row>
      <xdr:rowOff>101600</xdr:rowOff>
    </xdr:from>
    <xdr:to>
      <xdr:col>14</xdr:col>
      <xdr:colOff>104775</xdr:colOff>
      <xdr:row>84</xdr:row>
      <xdr:rowOff>82550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68C95F00-6D45-356E-329B-210D210D50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410325" y="12807950"/>
              <a:ext cx="487680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330200</xdr:colOff>
      <xdr:row>85</xdr:row>
      <xdr:rowOff>25400</xdr:rowOff>
    </xdr:from>
    <xdr:to>
      <xdr:col>14</xdr:col>
      <xdr:colOff>844550</xdr:colOff>
      <xdr:row>100</xdr:row>
      <xdr:rowOff>6350</xdr:rowOff>
    </xdr:to>
    <xdr:graphicFrame macro="">
      <xdr:nvGraphicFramePr>
        <xdr:cNvPr id="16" name="Chart 15">
          <a:extLst>
            <a:ext uri="{FF2B5EF4-FFF2-40B4-BE49-F238E27FC236}">
              <a16:creationId xmlns:a16="http://schemas.microsoft.com/office/drawing/2014/main" id="{7B70AAD7-F8DB-29B6-3009-9F260ABE1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374650</xdr:colOff>
      <xdr:row>102</xdr:row>
      <xdr:rowOff>38100</xdr:rowOff>
    </xdr:from>
    <xdr:to>
      <xdr:col>14</xdr:col>
      <xdr:colOff>565150</xdr:colOff>
      <xdr:row>115</xdr:row>
      <xdr:rowOff>139700</xdr:rowOff>
    </xdr:to>
    <xdr:graphicFrame macro="">
      <xdr:nvGraphicFramePr>
        <xdr:cNvPr id="18" name="Chart 17">
          <a:extLst>
            <a:ext uri="{FF2B5EF4-FFF2-40B4-BE49-F238E27FC236}">
              <a16:creationId xmlns:a16="http://schemas.microsoft.com/office/drawing/2014/main" id="{0680AD36-7044-4D6B-835B-24EBE9281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120650</xdr:colOff>
      <xdr:row>122</xdr:row>
      <xdr:rowOff>50800</xdr:rowOff>
    </xdr:from>
    <xdr:to>
      <xdr:col>9</xdr:col>
      <xdr:colOff>393700</xdr:colOff>
      <xdr:row>131</xdr:row>
      <xdr:rowOff>114300</xdr:rowOff>
    </xdr:to>
    <xdr:graphicFrame macro="">
      <xdr:nvGraphicFramePr>
        <xdr:cNvPr id="20" name="Chart 19">
          <a:extLst>
            <a:ext uri="{FF2B5EF4-FFF2-40B4-BE49-F238E27FC236}">
              <a16:creationId xmlns:a16="http://schemas.microsoft.com/office/drawing/2014/main" id="{68046D92-A6F0-2C7F-9CBF-BAD107686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898525</xdr:colOff>
      <xdr:row>153</xdr:row>
      <xdr:rowOff>82550</xdr:rowOff>
    </xdr:from>
    <xdr:to>
      <xdr:col>10</xdr:col>
      <xdr:colOff>250825</xdr:colOff>
      <xdr:row>168</xdr:row>
      <xdr:rowOff>63500</xdr:rowOff>
    </xdr:to>
    <xdr:graphicFrame macro="">
      <xdr:nvGraphicFramePr>
        <xdr:cNvPr id="21" name="Chart 20">
          <a:extLst>
            <a:ext uri="{FF2B5EF4-FFF2-40B4-BE49-F238E27FC236}">
              <a16:creationId xmlns:a16="http://schemas.microsoft.com/office/drawing/2014/main" id="{3861342D-853D-F220-B274-C9B46304D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130175</xdr:colOff>
      <xdr:row>32</xdr:row>
      <xdr:rowOff>82550</xdr:rowOff>
    </xdr:from>
    <xdr:to>
      <xdr:col>9</xdr:col>
      <xdr:colOff>441325</xdr:colOff>
      <xdr:row>47</xdr:row>
      <xdr:rowOff>63500</xdr:rowOff>
    </xdr:to>
    <xdr:graphicFrame macro="">
      <xdr:nvGraphicFramePr>
        <xdr:cNvPr id="22" name="Chart 21">
          <a:extLst>
            <a:ext uri="{FF2B5EF4-FFF2-40B4-BE49-F238E27FC236}">
              <a16:creationId xmlns:a16="http://schemas.microsoft.com/office/drawing/2014/main" id="{A37259AA-7FB7-3F7A-B0D1-566EB77B1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gole, Tshomarelo T" refreshedDate="46130.982520370373" createdVersion="8" refreshedVersion="8" minRefreshableVersion="3" recordCount="1001" xr:uid="{B4569AA8-39AC-4618-9857-7363801BBE2A}">
  <cacheSource type="worksheet">
    <worksheetSource ref="A1:O1048576" sheet="Bright_tv_viewership_analysis"/>
  </cacheSource>
  <cacheFields count="15">
    <cacheField name="UserID_Profile" numFmtId="0">
      <sharedItems containsString="0" containsBlank="1" containsNumber="1" containsInteger="1" minValue="1445" maxValue="2425806"/>
    </cacheField>
    <cacheField name="Gender" numFmtId="0">
      <sharedItems containsBlank="1" count="4">
        <s v="male"/>
        <s v="None"/>
        <s v="female"/>
        <m/>
      </sharedItems>
    </cacheField>
    <cacheField name="Race" numFmtId="0">
      <sharedItems containsBlank="1" count="8">
        <s v="coloured"/>
        <s v="None"/>
        <s v="indian_asian"/>
        <s v="white"/>
        <s v="black"/>
        <s v="other"/>
        <s v=" "/>
        <m/>
      </sharedItems>
    </cacheField>
    <cacheField name="Age" numFmtId="0">
      <sharedItems containsString="0" containsBlank="1" containsNumber="1" containsInteger="1" minValue="0" maxValue="62"/>
    </cacheField>
    <cacheField name="Province" numFmtId="0">
      <sharedItems containsBlank="1" count="11">
        <s v="Western Cape"/>
        <s v="None"/>
        <s v="Gauteng"/>
        <s v="Eastern Cape"/>
        <s v="Kwazulu Natal"/>
        <s v="Mpumalanga"/>
        <s v="Limpopo"/>
        <s v="Free State"/>
        <s v="North West"/>
        <s v="Northern Cape"/>
        <m/>
      </sharedItems>
    </cacheField>
    <cacheField name="RecordDate2" numFmtId="0">
      <sharedItems containsNonDate="0" containsDate="1" containsString="0" containsBlank="1" minDate="2016-01-01T02:37:00" maxDate="2016-03-31T23:24:00"/>
    </cacheField>
    <cacheField name="Duration_2" numFmtId="0">
      <sharedItems containsBlank="1" count="470">
        <s v="2026-04-11T00:02:00.000Z"/>
        <s v="2026-04-11T00:10:06.000Z"/>
        <s v="2026-04-11T00:00:42.000Z"/>
        <s v="2026-04-11T00:00:10.000Z"/>
        <s v="2026-04-11T00:01:33.000Z"/>
        <s v="2026-04-11T00:17:15.000Z"/>
        <s v="2026-04-11T00:01:13.000Z"/>
        <s v="2026-04-11T00:04:45.000Z"/>
        <s v="2026-04-11T00:00:40.000Z"/>
        <s v="2026-04-11T00:00:06.000Z"/>
        <s v="2026-04-11T05:01:12.000Z"/>
        <s v="2026-04-11T00:00:00.000Z"/>
        <s v="2026-04-11T00:11:15.000Z"/>
        <s v="2026-04-11T00:22:02.000Z"/>
        <s v="2026-04-11T00:04:12.000Z"/>
        <s v="2026-04-11T00:01:14.000Z"/>
        <s v="2026-04-11T00:00:50.000Z"/>
        <s v="2026-04-11T00:01:42.000Z"/>
        <s v="2026-04-11T00:00:26.000Z"/>
        <s v="2026-04-11T00:00:24.000Z"/>
        <s v="2026-04-11T00:01:24.000Z"/>
        <s v="2026-04-11T00:00:11.000Z"/>
        <s v="2026-04-11T00:00:15.000Z"/>
        <s v="2026-04-11T00:07:54.000Z"/>
        <s v="2026-04-11T00:18:27.000Z"/>
        <s v="2026-04-11T00:00:48.000Z"/>
        <s v="2026-04-11T00:02:15.000Z"/>
        <s v="2026-04-11T00:00:03.000Z"/>
        <s v="2026-04-11T00:14:58.000Z"/>
        <s v="2026-04-11T00:01:22.000Z"/>
        <s v="2026-04-11T00:01:12.000Z"/>
        <s v="2026-04-11T00:13:21.000Z"/>
        <s v="2026-04-11T00:01:18.000Z"/>
        <s v="2026-04-11T00:00:54.000Z"/>
        <s v="2026-04-11T01:29:08.000Z"/>
        <s v="2026-04-11T00:01:48.000Z"/>
        <s v="2026-04-11T00:01:06.000Z"/>
        <s v="2026-04-11T00:03:14.000Z"/>
        <s v="2026-04-11T00:21:11.000Z"/>
        <s v="2026-04-11T00:00:13.000Z"/>
        <s v="2026-04-11T00:03:52.000Z"/>
        <s v="2026-04-11T00:00:56.000Z"/>
        <s v="2026-04-11T00:00:46.000Z"/>
        <s v="2026-04-11T00:05:30.000Z"/>
        <s v="2026-04-11T00:00:02.000Z"/>
        <s v="2026-04-11T00:00:57.000Z"/>
        <s v="2026-04-11T01:32:32.000Z"/>
        <s v="2026-04-11T00:02:31.000Z"/>
        <s v="2026-04-11T00:00:36.000Z"/>
        <s v="2026-04-11T00:00:37.000Z"/>
        <s v="2026-04-11T00:00:20.000Z"/>
        <s v="2026-04-11T00:00:08.000Z"/>
        <s v="2026-04-11T00:22:56.000Z"/>
        <s v="2026-04-11T00:00:38.000Z"/>
        <s v="2026-04-11T00:01:52.000Z"/>
        <s v="2026-04-11T00:27:16.000Z"/>
        <s v="2026-04-11T00:04:22.000Z"/>
        <s v="2026-04-11T00:00:07.000Z"/>
        <s v="2026-04-11T00:23:04.000Z"/>
        <s v="2026-04-11T00:06:10.000Z"/>
        <s v="2026-04-11T00:05:42.000Z"/>
        <s v="2026-04-11T00:06:54.000Z"/>
        <s v="2026-04-11T00:01:28.000Z"/>
        <s v="2026-04-11T00:04:30.000Z"/>
        <s v="2026-04-11T00:03:56.000Z"/>
        <s v="2026-04-11T00:03:44.000Z"/>
        <s v="2026-04-11T00:00:28.000Z"/>
        <s v="2026-04-11T00:23:08.000Z"/>
        <s v="2026-04-11T00:00:52.000Z"/>
        <s v="2026-04-11T00:02:54.000Z"/>
        <s v="2026-04-11T00:01:43.000Z"/>
        <s v="2026-04-11T00:01:44.000Z"/>
        <s v="2026-04-11T00:53:50.000Z"/>
        <s v="2026-04-11T00:05:54.000Z"/>
        <s v="2026-04-11T00:00:14.000Z"/>
        <s v="2026-04-11T00:04:31.000Z"/>
        <s v="2026-04-11T00:20:39.000Z"/>
        <s v="2026-04-11T00:06:16.000Z"/>
        <s v="2026-04-11T00:13:19.000Z"/>
        <s v="2026-04-11T00:00:35.000Z"/>
        <s v="2026-04-11T00:14:12.000Z"/>
        <s v="2026-04-11T00:01:03.000Z"/>
        <s v="2026-04-11T00:02:25.000Z"/>
        <s v="2026-04-11T00:00:17.000Z"/>
        <s v="2026-04-11T00:38:12.000Z"/>
        <s v="2026-04-11T00:02:26.000Z"/>
        <s v="2026-04-11T00:06:27.000Z"/>
        <s v="2026-04-11T00:04:56.000Z"/>
        <s v="2026-04-11T00:02:33.000Z"/>
        <s v="2026-04-11T00:11:39.000Z"/>
        <s v="2026-04-11T00:11:24.000Z"/>
        <s v="2026-04-11T00:03:24.000Z"/>
        <s v="2026-04-11T00:04:39.000Z"/>
        <s v="2026-04-11T00:13:48.000Z"/>
        <s v="2026-04-11T00:38:02.000Z"/>
        <s v="2026-04-11T00:01:09.000Z"/>
        <s v="2026-04-11T00:03:18.000Z"/>
        <s v="2026-04-11T00:12:40.000Z"/>
        <s v="2026-04-11T00:04:03.000Z"/>
        <s v="2026-04-11T00:03:38.000Z"/>
        <s v="2026-04-11T00:04:57.000Z"/>
        <s v="2026-04-11T00:02:42.000Z"/>
        <s v="2026-04-11T00:01:02.000Z"/>
        <s v="2026-04-11T00:01:38.000Z"/>
        <s v="2026-04-11T00:01:30.000Z"/>
        <s v="2026-04-11T00:17:32.000Z"/>
        <s v="2026-04-11T00:27:14.000Z"/>
        <s v="2026-04-11T00:02:28.000Z"/>
        <s v="2026-04-11T00:00:51.000Z"/>
        <s v="2026-04-11T00:00:18.000Z"/>
        <s v="2026-04-11T00:24:10.000Z"/>
        <s v="2026-04-11T01:44:38.000Z"/>
        <s v="2026-04-11T00:08:12.000Z"/>
        <s v="2026-04-11T00:09:11.000Z"/>
        <s v="2026-04-11T00:00:32.000Z"/>
        <s v="2026-04-11T00:05:58.000Z"/>
        <s v="2026-04-11T00:05:50.000Z"/>
        <s v="2026-04-11T00:02:47.000Z"/>
        <s v="2026-04-11T00:07:06.000Z"/>
        <s v="2026-04-11T00:15:21.000Z"/>
        <s v="2026-04-11T00:02:56.000Z"/>
        <s v="2026-04-11T00:07:00.000Z"/>
        <s v="2026-04-11T01:06:21.000Z"/>
        <s v="2026-04-11T00:05:10.000Z"/>
        <s v="2026-04-11T00:13:04.000Z"/>
        <s v="2026-04-11T00:13:54.000Z"/>
        <s v="2026-04-11T00:09:55.000Z"/>
        <s v="2026-04-11T01:23:54.000Z"/>
        <s v="2026-04-11T00:00:21.000Z"/>
        <s v="2026-04-11T00:06:06.000Z"/>
        <s v="2026-04-11T01:19:52.000Z"/>
        <s v="2026-04-11T00:47:18.000Z"/>
        <s v="2026-04-11T00:00:27.000Z"/>
        <s v="2026-04-11T00:00:44.000Z"/>
        <s v="2026-04-11T00:08:40.000Z"/>
        <s v="2026-04-11T00:15:03.000Z"/>
        <s v="2026-04-11T00:00:12.000Z"/>
        <s v="2026-04-11T00:00:49.000Z"/>
        <s v="2026-04-11T00:01:46.000Z"/>
        <s v="2026-04-11T00:05:00.000Z"/>
        <s v="2026-04-11T00:45:00.000Z"/>
        <s v="2026-04-11T00:03:32.000Z"/>
        <s v="2026-04-11T00:02:07.000Z"/>
        <s v="2026-04-11T00:34:22.000Z"/>
        <s v="2026-04-11T00:00:58.000Z"/>
        <s v="2026-04-11T00:01:08.000Z"/>
        <s v="2026-04-11T00:04:16.000Z"/>
        <s v="2026-04-11T00:10:10.000Z"/>
        <s v="2026-04-11T00:02:05.000Z"/>
        <s v="2026-04-11T00:07:48.000Z"/>
        <s v="2026-04-11T00:01:00.000Z"/>
        <s v="2026-04-11T00:29:21.000Z"/>
        <s v="2026-04-11T00:14:44.000Z"/>
        <s v="2026-04-11T00:02:55.000Z"/>
        <s v="2026-04-11T00:16:48.000Z"/>
        <s v="2026-04-11T00:06:26.000Z"/>
        <s v="2026-04-11T00:05:57.000Z"/>
        <s v="2026-04-11T00:02:48.000Z"/>
        <s v="2026-04-11T00:02:12.000Z"/>
        <s v="2026-04-11T00:08:26.000Z"/>
        <s v="2026-04-11T00:01:19.000Z"/>
        <s v="2026-04-11T00:00:39.000Z"/>
        <s v="2026-04-11T00:01:57.000Z"/>
        <s v="2026-04-11T00:01:15.000Z"/>
        <s v="2026-04-11T00:04:14.000Z"/>
        <s v="2026-04-11T00:02:38.000Z"/>
        <s v="2026-04-11T00:03:41.000Z"/>
        <s v="2026-04-11T00:00:29.000Z"/>
        <s v="2026-04-11T00:00:23.000Z"/>
        <s v="2026-04-11T00:00:25.000Z"/>
        <s v="2026-04-11T00:01:10.000Z"/>
        <s v="2026-04-11T00:02:37.000Z"/>
        <s v="2026-04-11T00:00:04.000Z"/>
        <s v="2026-04-11T00:05:38.000Z"/>
        <s v="2026-04-11T00:00:16.000Z"/>
        <s v="2026-04-11T00:11:20.000Z"/>
        <s v="2026-04-11T00:00:22.000Z"/>
        <s v="2026-04-11T00:04:54.000Z"/>
        <s v="2026-04-11T00:06:00.000Z"/>
        <s v="2026-04-11T00:01:23.000Z"/>
        <s v="2026-04-11T00:10:45.000Z"/>
        <s v="2026-04-11T00:02:32.000Z"/>
        <s v="2026-04-11T00:07:27.000Z"/>
        <s v="2026-04-11T00:02:06.000Z"/>
        <s v="2026-04-11T00:04:11.000Z"/>
        <s v="2026-04-11T00:02:36.000Z"/>
        <s v="2026-04-11T00:00:30.000Z"/>
        <s v="2026-04-11T01:28:33.000Z"/>
        <s v="2026-04-11T00:05:36.000Z"/>
        <s v="2026-04-11T00:03:45.000Z"/>
        <s v="2026-04-11T00:49:11.000Z"/>
        <s v="2026-04-11T00:24:51.000Z"/>
        <s v="2026-04-11T00:08:36.000Z"/>
        <s v="2026-04-11T00:09:10.000Z"/>
        <s v="2026-04-11T00:17:16.000Z"/>
        <s v="2026-04-11T00:14:51.000Z"/>
        <s v="2026-04-11T00:05:18.000Z"/>
        <s v="2026-04-11T00:05:06.000Z"/>
        <s v="2026-04-11T00:03:35.000Z"/>
        <s v="2026-04-11T00:00:19.000Z"/>
        <s v="2026-04-11T00:03:48.000Z"/>
        <s v="2026-04-11T00:24:00.000Z"/>
        <s v="2026-04-11T00:06:59.000Z"/>
        <s v="2026-04-11T00:01:21.000Z"/>
        <s v="2026-04-11T00:00:53.000Z"/>
        <s v="2026-04-11T00:02:09.000Z"/>
        <s v="2026-04-11T00:59:00.000Z"/>
        <s v="2026-04-11T00:04:04.000Z"/>
        <s v="2026-04-11T00:19:10.000Z"/>
        <s v="2026-04-11T00:10:02.000Z"/>
        <s v="2026-04-11T00:34:06.000Z"/>
        <s v="2026-04-11T01:16:40.000Z"/>
        <s v="2026-04-11T00:37:25.000Z"/>
        <s v="2026-04-11T01:48:38.000Z"/>
        <s v="2026-04-11T00:02:03.000Z"/>
        <s v="2026-04-11T00:55:44.000Z"/>
        <s v="2026-04-11T00:14:20.000Z"/>
        <s v="2026-04-11T00:24:57.000Z"/>
        <s v="2026-04-11T00:23:36.000Z"/>
        <s v="2026-04-11T00:04:53.000Z"/>
        <s v="2026-04-11T00:01:36.000Z"/>
        <s v="2026-04-11T00:03:10.000Z"/>
        <s v="2026-04-11T00:12:08.000Z"/>
        <s v="2026-04-11T00:01:27.000Z"/>
        <s v="2026-04-11T00:07:30.000Z"/>
        <s v="2026-04-11T00:10:28.000Z"/>
        <s v="2026-04-11T00:04:06.000Z"/>
        <s v="2026-04-11T00:05:07.000Z"/>
        <s v="2026-04-11T00:18:34.000Z"/>
        <s v="2026-04-11T00:04:42.000Z"/>
        <s v="2026-04-11T00:05:28.000Z"/>
        <s v="2026-04-11T00:08:21.000Z"/>
        <s v="2026-04-11T01:25:30.000Z"/>
        <s v="2026-04-11T00:01:11.000Z"/>
        <s v="2026-04-11T00:10:58.000Z"/>
        <s v="2026-04-11T00:07:39.000Z"/>
        <s v="2026-04-11T00:29:03.000Z"/>
        <s v="2026-04-11T00:09:00.000Z"/>
        <s v="2026-04-11T00:09:04.000Z"/>
        <s v="2026-04-11T00:01:50.000Z"/>
        <s v="2026-04-11T00:02:04.000Z"/>
        <s v="2026-04-11T00:01:26.000Z"/>
        <s v="2026-04-11T00:00:09.000Z"/>
        <s v="2026-04-11T00:07:53.000Z"/>
        <s v="2026-04-11T00:04:52.000Z"/>
        <s v="2026-04-11T02:59:03.000Z"/>
        <s v="2026-04-11T00:02:01.000Z"/>
        <s v="2026-04-11T00:08:34.000Z"/>
        <s v="2026-04-11T00:00:47.000Z"/>
        <s v="2026-04-11T00:55:00.000Z"/>
        <s v="2026-04-11T00:01:16.000Z"/>
        <s v="2026-04-11T00:12:36.000Z"/>
        <s v="2026-04-11T00:05:09.000Z"/>
        <s v="2026-04-11T01:59:48.000Z"/>
        <s v="2026-04-11T00:02:22.000Z"/>
        <s v="2026-04-11T00:49:27.000Z"/>
        <s v="2026-04-11T00:32:29.000Z"/>
        <s v="2026-04-11T00:10:41.000Z"/>
        <s v="2026-04-11T00:02:57.000Z"/>
        <s v="2026-04-11T00:02:18.000Z"/>
        <s v="2026-04-11T00:32:21.000Z"/>
        <s v="2026-04-11T00:07:45.000Z"/>
        <s v="2026-04-11T00:08:44.000Z"/>
        <s v="2026-04-11T00:08:08.000Z"/>
        <s v="2026-04-11T00:42:08.000Z"/>
        <s v="2026-04-11T00:06:15.000Z"/>
        <s v="2026-04-11T00:19:06.000Z"/>
        <s v="2026-04-11T00:05:12.000Z"/>
        <s v="2026-04-11T00:01:20.000Z"/>
        <s v="2026-04-11T00:01:59.000Z"/>
        <s v="2026-04-11T00:10:03.000Z"/>
        <s v="2026-04-11T00:02:10.000Z"/>
        <s v="2026-04-11T00:30:06.000Z"/>
        <s v="2026-04-11T00:05:44.000Z"/>
        <s v="2026-04-11T00:02:24.000Z"/>
        <s v="2026-04-11T00:15:24.000Z"/>
        <s v="2026-04-11T00:04:21.000Z"/>
        <s v="2026-04-11T00:00:31.000Z"/>
        <s v="2026-04-11T00:06:03.000Z"/>
        <s v="2026-04-11T00:19:45.000Z"/>
        <s v="2026-04-11T00:02:21.000Z"/>
        <s v="2026-04-11T01:29:54.000Z"/>
        <s v="2026-04-11T00:11:30.000Z"/>
        <s v="2026-04-11T00:01:29.000Z"/>
        <s v="2026-04-11T00:12:33.000Z"/>
        <s v="2026-04-11T00:10:04.000Z"/>
        <s v="2026-04-11T00:00:01.000Z"/>
        <s v="2026-04-11T00:37:36.000Z"/>
        <s v="2026-04-11T00:03:31.000Z"/>
        <s v="2026-04-11T00:02:35.000Z"/>
        <s v="2026-04-11T00:13:58.000Z"/>
        <s v="2026-04-11T00:08:33.000Z"/>
        <s v="2026-04-11T00:28:02.000Z"/>
        <s v="2026-04-11T00:39:48.000Z"/>
        <s v="2026-04-11T00:13:30.000Z"/>
        <s v="2026-04-11T00:01:40.000Z"/>
        <s v="2026-04-11T00:12:21.000Z"/>
        <s v="2026-04-11T00:03:12.000Z"/>
        <s v="2026-04-11T00:03:57.000Z"/>
        <s v="2026-04-11T00:05:20.000Z"/>
        <s v="2026-04-11T00:00:45.000Z"/>
        <s v="2026-04-11T00:00:05.000Z"/>
        <s v="2026-04-11T00:07:11.000Z"/>
        <s v="2026-04-11T00:04:36.000Z"/>
        <s v="2026-04-11T00:12:00.000Z"/>
        <s v="2026-04-11T00:14:33.000Z"/>
        <s v="2026-04-11T00:58:30.000Z"/>
        <s v="2026-04-11T00:06:32.000Z"/>
        <s v="2026-04-11T00:04:34.000Z"/>
        <s v="2026-04-11T00:39:16.000Z"/>
        <s v="2026-04-11T00:38:48.000Z"/>
        <s v="2026-04-11T00:09:28.000Z"/>
        <s v="2026-04-11T00:01:45.000Z"/>
        <s v="2026-04-11T00:06:21.000Z"/>
        <s v="2026-04-11T00:10:27.000Z"/>
        <s v="2026-04-11T00:01:49.000Z"/>
        <s v="2026-04-11T00:00:33.000Z"/>
        <s v="2026-04-11T00:29:56.000Z"/>
        <s v="2026-04-11T00:11:16.000Z"/>
        <s v="2026-04-11T00:11:09.000Z"/>
        <s v="2026-04-11T00:03:26.000Z"/>
        <s v="2026-04-11T00:07:59.000Z"/>
        <s v="2026-04-11T00:08:52.000Z"/>
        <s v="2026-04-11T00:28:51.000Z"/>
        <s v="2026-04-11T00:03:04.000Z"/>
        <s v="2026-04-11T01:04:03.000Z"/>
        <s v="2026-04-11T00:08:38.000Z"/>
        <s v="2026-04-11T00:09:13.000Z"/>
        <s v="2026-04-11T00:22:24.000Z"/>
        <s v="2026-04-11T00:04:48.000Z"/>
        <s v="2026-04-11T00:01:51.000Z"/>
        <s v="2026-04-11T02:09:56.000Z"/>
        <s v="2026-04-11T00:07:34.000Z"/>
        <s v="2026-04-11T00:31:06.000Z"/>
        <s v="2026-04-11T00:28:28.000Z"/>
        <s v="2026-04-11T00:12:51.000Z"/>
        <s v="2026-04-11T00:19:34.000Z"/>
        <s v="2026-04-11T00:31:10.000Z"/>
        <s v="2026-04-11T00:12:53.000Z"/>
        <s v="2026-04-11T00:35:27.000Z"/>
        <s v="2026-04-11T00:01:54.000Z"/>
        <s v="2026-04-11T00:20:42.000Z"/>
        <s v="2026-04-11T00:07:50.000Z"/>
        <s v="2026-04-11T00:17:30.000Z"/>
        <s v="2026-04-11T00:23:48.000Z"/>
        <s v="2026-04-11T00:15:12.000Z"/>
        <s v="2026-04-11T00:05:45.000Z"/>
        <s v="2026-04-11T00:09:06.000Z"/>
        <s v="2026-04-11T00:13:12.000Z"/>
        <s v="2026-04-11T00:03:00.000Z"/>
        <s v="2026-04-11T00:02:30.000Z"/>
        <s v="2026-04-11T00:43:48.000Z"/>
        <s v="2026-04-11T02:02:57.000Z"/>
        <s v="2026-04-11T00:17:40.000Z"/>
        <s v="2026-04-11T00:06:20.000Z"/>
        <s v="2026-04-11T00:07:46.000Z"/>
        <s v="2026-04-11T00:04:15.000Z"/>
        <s v="2026-04-11T00:47:42.000Z"/>
        <s v="2026-04-11T01:06:24.000Z"/>
        <s v="2026-04-11T00:15:42.000Z"/>
        <s v="2026-04-11T00:01:05.000Z"/>
        <s v="2026-04-11T00:07:09.000Z"/>
        <s v="2026-04-11T00:08:58.000Z"/>
        <s v="2026-04-11T00:30:52.000Z"/>
        <s v="2026-04-11T00:28:42.000Z"/>
        <s v="2026-04-11T00:04:20.000Z"/>
        <s v="2026-04-11T00:20:24.000Z"/>
        <s v="2026-04-11T00:03:09.000Z"/>
        <s v="2026-04-11T00:06:50.000Z"/>
        <s v="2026-04-11T00:04:44.000Z"/>
        <s v="2026-04-11T00:08:24.000Z"/>
        <s v="2026-04-11T00:07:14.000Z"/>
        <s v="2026-04-11T00:03:20.000Z"/>
        <s v="2026-04-11T00:02:45.000Z"/>
        <s v="2026-04-11T00:04:50.000Z"/>
        <s v="2026-04-11T00:11:42.000Z"/>
        <s v="2026-04-11T00:01:25.000Z"/>
        <s v="2026-04-11T00:04:00.000Z"/>
        <s v="2026-04-11T00:27:00.000Z"/>
        <s v="2026-04-11T00:16:38.000Z"/>
        <s v="2026-04-11T01:11:12.000Z"/>
        <s v="2026-04-11T01:22:02.000Z"/>
        <s v="2026-04-11T01:47:28.000Z"/>
        <s v="2026-04-11T01:30:26.000Z"/>
        <s v="2026-04-11T01:31:36.000Z"/>
        <s v="2026-04-11T00:02:17.000Z"/>
        <s v="2026-04-11T00:45:42.000Z"/>
        <s v="2026-04-11T00:13:28.000Z"/>
        <s v="2026-04-11T00:13:24.000Z"/>
        <s v="2026-04-11T00:04:10.000Z"/>
        <s v="2026-04-11T00:09:32.000Z"/>
        <s v="2026-04-11T00:13:22.000Z"/>
        <s v="2026-04-11T00:11:56.000Z"/>
        <s v="2026-04-11T00:01:35.000Z"/>
        <s v="2026-04-11T01:04:12.000Z"/>
        <s v="2026-04-11T00:04:24.000Z"/>
        <s v="2026-04-11T00:59:14.000Z"/>
        <s v="2026-04-11T00:20:19.000Z"/>
        <s v="2026-04-11T00:01:58.000Z"/>
        <s v="2026-04-11T00:16:00.000Z"/>
        <s v="2026-04-11T00:24:39.000Z"/>
        <s v="2026-04-11T00:03:27.000Z"/>
        <s v="2026-04-11T00:03:30.000Z"/>
        <s v="2026-04-11T00:04:32.000Z"/>
        <s v="2026-04-11T00:09:48.000Z"/>
        <s v="2026-04-11T00:23:06.000Z"/>
        <s v="2026-04-11T00:15:16.000Z"/>
        <s v="2026-04-11T00:16:21.000Z"/>
        <s v="2026-04-11T00:24:42.000Z"/>
        <s v="2026-04-11T01:56:32.000Z"/>
        <s v="2026-04-11T00:12:24.000Z"/>
        <s v="2026-04-11T00:03:06.000Z"/>
        <s v="2026-04-11T00:01:34.000Z"/>
        <s v="2026-04-11T00:10:15.000Z"/>
        <s v="2026-04-11T00:08:13.000Z"/>
        <s v="2026-04-11T02:03:12.000Z"/>
        <s v="2026-04-11T00:24:06.000Z"/>
        <s v="2026-04-11T00:19:48.000Z"/>
        <s v="2026-04-11T01:23:04.000Z"/>
        <s v="2026-04-11T00:03:58.000Z"/>
        <s v="2026-04-11T00:01:32.000Z"/>
        <s v="2026-04-11T00:13:44.000Z"/>
        <s v="2026-04-11T00:05:46.000Z"/>
        <s v="2026-04-11T00:05:52.000Z"/>
        <s v="2026-04-11T01:04:59.000Z"/>
        <s v="2026-04-11T00:18:14.000Z"/>
        <s v="2026-04-11T00:17:14.000Z"/>
        <s v="2026-04-11T04:49:00.000Z"/>
        <s v="2026-04-11T00:14:06.000Z"/>
        <s v="2026-04-11T00:21:32.000Z"/>
        <s v="2026-04-11T00:15:05.000Z"/>
        <s v="2026-04-11T00:09:51.000Z"/>
        <s v="2026-04-11T00:00:43.000Z"/>
        <s v="2026-04-11T00:25:45.000Z"/>
        <s v="2026-04-11T00:04:43.000Z"/>
        <s v="2026-04-11T00:13:15.000Z"/>
        <s v="2026-04-11T01:00:30.000Z"/>
        <s v="2026-04-11T00:02:43.000Z"/>
        <s v="2026-04-11T00:11:36.000Z"/>
        <s v="2026-04-11T00:46:48.000Z"/>
        <s v="2026-04-11T00:29:12.000Z"/>
        <s v="2026-04-11T00:01:56.000Z"/>
        <s v="2026-04-11T00:11:00.000Z"/>
        <s v="2026-04-11T00:04:08.000Z"/>
        <s v="2026-04-11T00:18:40.000Z"/>
        <s v="2026-04-11T00:04:38.000Z"/>
        <s v="2026-04-11T00:08:15.000Z"/>
        <s v="2026-04-11T00:15:51.000Z"/>
        <s v="2026-04-11T00:14:36.000Z"/>
        <s v="2026-04-11T00:17:00.000Z"/>
        <s v="2026-04-11T00:23:22.000Z"/>
        <s v="2026-04-11T00:08:03.000Z"/>
        <s v="2026-04-11T00:23:33.000Z"/>
        <s v="2026-04-11T00:52:54.000Z"/>
        <s v="2026-04-11T00:03:25.000Z"/>
        <s v="2026-04-11T00:05:56.000Z"/>
        <s v="2026-04-11T00:07:51.000Z"/>
        <s v="2026-04-11T00:02:44.000Z"/>
        <s v="2026-04-11T00:01:01.000Z"/>
        <s v="2026-04-11T00:06:47.000Z"/>
        <s v="2026-04-11T00:06:44.000Z"/>
        <s v="2026-04-11T00:09:40.000Z"/>
        <s v="2026-04-11T00:31:48.000Z"/>
        <s v="2026-04-11T00:39:15.000Z"/>
        <s v="2026-04-11T00:52:42.000Z"/>
        <s v="2026-04-11T00:07:16.000Z"/>
        <s v="2026-04-11T00:06:19.000Z"/>
        <s v="2026-04-11T00:09:54.000Z"/>
        <s v="2026-04-11T00:10:22.000Z"/>
        <m/>
      </sharedItems>
    </cacheField>
    <cacheField name="Channel2" numFmtId="0">
      <sharedItems containsBlank="1" count="18">
        <s v="Trace TV"/>
        <s v="ICC Cricket World Cup 2011"/>
        <s v="SawSee"/>
        <s v="Boomerang"/>
        <s v="Channel O"/>
        <s v="Cartoon Network"/>
        <s v="Supersport Live Events"/>
        <s v="SuperSport Blitz"/>
        <s v="E! Entertainment"/>
        <s v="Break in transmission"/>
        <s v="kykNET"/>
        <s v="Africa Magic"/>
        <s v="CNN"/>
        <s v="Vuzu"/>
        <s v="M-Net"/>
        <s v="DStv Events 1"/>
        <s v="MK"/>
        <m/>
      </sharedItems>
    </cacheField>
    <cacheField name="RecordDate_SAST" numFmtId="0">
      <sharedItems containsBlank="1" count="993">
        <s v="2016-01-04T20:09:00.000Z"/>
        <s v="2016-03-30T11:04:00.000Z"/>
        <s v="2016-03-30T19:01:00.000Z"/>
        <s v="2016-03-25T17:23:00.000Z"/>
        <s v="2016-02-02T19:18:00.000Z"/>
        <s v="2016-03-18T18:56:00.000Z"/>
        <s v="2016-03-20T06:25:00.000Z"/>
        <s v="2016-02-03T08:43:00.000Z"/>
        <s v="2016-03-31T12:01:00.000Z"/>
        <s v="2016-01-09T10:25:00.000Z"/>
        <s v="2016-03-24T11:09:00.000Z"/>
        <s v="2016-03-26T17:33:00.000Z"/>
        <s v="2016-02-28T10:09:00.000Z"/>
        <s v="2016-02-15T10:40:00.000Z"/>
        <s v="2016-01-09T17:40:00.000Z"/>
        <s v="2016-02-05T15:47:00.000Z"/>
        <s v="2016-02-20T07:34:00.000Z"/>
        <s v="2016-02-21T15:45:00.000Z"/>
        <s v="2016-02-19T13:03:00.000Z"/>
        <s v="2016-02-19T22:15:00.000Z"/>
        <s v="2016-03-01T05:17:00.000Z"/>
        <s v="2016-02-27T20:13:00.000Z"/>
        <s v="2016-02-28T22:20:00.000Z"/>
        <s v="2016-03-31T01:52:00.000Z"/>
        <s v="2016-03-30T21:13:00.000Z"/>
        <s v="2016-03-09T10:51:00.000Z"/>
        <s v="2016-03-29T04:23:00.000Z"/>
        <s v="2016-03-02T08:01:00.000Z"/>
        <s v="2016-03-06T17:58:00.000Z"/>
        <s v="2016-02-25T21:48:00.000Z"/>
        <s v="2016-02-25T17:59:00.000Z"/>
        <s v="2016-03-04T09:21:00.000Z"/>
        <s v="2016-02-04T16:12:00.000Z"/>
        <s v="2016-01-25T17:59:00.000Z"/>
        <s v="2016-03-07T19:16:00.000Z"/>
        <s v="2016-03-29T18:03:00.000Z"/>
        <s v="2016-03-10T23:30:00.000Z"/>
        <s v="2016-02-21T20:03:00.000Z"/>
        <s v="2016-02-17T20:45:00.000Z"/>
        <s v="2016-04-01T01:24:00.000Z"/>
        <s v="2016-03-12T10:24:00.000Z"/>
        <s v="2016-03-09T05:54:00.000Z"/>
        <s v="2016-03-31T15:17:00.000Z"/>
        <s v="2016-02-19T09:20:00.000Z"/>
        <s v="2016-02-21T08:27:00.000Z"/>
        <s v="2016-02-02T12:17:00.000Z"/>
        <s v="2016-02-25T08:38:00.000Z"/>
        <s v="2016-02-18T14:00:00.000Z"/>
        <s v="2016-02-01T14:51:00.000Z"/>
        <s v="2016-01-30T23:43:00.000Z"/>
        <s v="2016-03-02T14:32:00.000Z"/>
        <s v="2016-03-08T12:46:00.000Z"/>
        <s v="2016-03-08T17:28:00.000Z"/>
        <s v="2016-01-27T14:03:00.000Z"/>
        <s v="2016-02-28T18:53:00.000Z"/>
        <s v="2016-01-16T11:52:00.000Z"/>
        <s v="2016-02-13T21:35:00.000Z"/>
        <s v="2016-03-01T14:15:00.000Z"/>
        <s v="2016-03-02T00:07:00.000Z"/>
        <s v="2016-01-11T20:18:00.000Z"/>
        <s v="2016-01-24T20:35:00.000Z"/>
        <s v="2016-03-13T20:39:00.000Z"/>
        <s v="2016-03-14T12:38:00.000Z"/>
        <s v="2016-03-18T16:04:00.000Z"/>
        <s v="2016-03-19T09:23:00.000Z"/>
        <s v="2016-03-31T12:45:00.000Z"/>
        <s v="2016-03-30T16:13:00.000Z"/>
        <s v="2016-03-08T11:19:00.000Z"/>
        <s v="2016-03-19T07:10:00.000Z"/>
        <s v="2016-03-12T11:38:00.000Z"/>
        <s v="2016-03-12T11:48:00.000Z"/>
        <s v="2016-03-09T15:14:00.000Z"/>
        <s v="2016-03-26T14:44:00.000Z"/>
        <s v="2016-03-02T13:07:00.000Z"/>
        <s v="2016-03-24T11:45:00.000Z"/>
        <s v="2016-02-25T11:28:00.000Z"/>
        <s v="2016-03-29T21:34:00.000Z"/>
        <s v="2016-03-30T13:55:00.000Z"/>
        <s v="2016-02-22T10:29:00.000Z"/>
        <s v="2016-03-02T11:38:00.000Z"/>
        <s v="2016-03-11T10:40:00.000Z"/>
        <s v="2016-02-24T13:23:00.000Z"/>
        <s v="2016-02-24T10:33:00.000Z"/>
        <s v="2016-02-27T19:11:00.000Z"/>
        <s v="2016-02-23T17:26:00.000Z"/>
        <s v="2016-03-30T14:19:00.000Z"/>
        <s v="2016-03-31T23:19:00.000Z"/>
        <s v="2016-03-14T13:51:00.000Z"/>
        <s v="2016-03-06T07:02:00.000Z"/>
        <s v="2016-02-26T17:53:00.000Z"/>
        <s v="2016-03-15T12:20:00.000Z"/>
        <s v="2016-03-12T16:47:00.000Z"/>
        <s v="2016-02-08T12:45:00.000Z"/>
        <s v="2016-03-10T12:50:00.000Z"/>
        <s v="2016-03-10T21:13:00.000Z"/>
        <s v="2016-02-11T21:35:00.000Z"/>
        <s v="2016-01-20T07:20:00.000Z"/>
        <s v="2016-01-18T15:06:00.000Z"/>
        <s v="2016-02-20T18:51:00.000Z"/>
        <s v="2016-01-10T09:34:00.000Z"/>
        <s v="2016-01-19T20:42:00.000Z"/>
        <s v="2016-01-18T19:49:00.000Z"/>
        <s v="2016-03-05T23:12:00.000Z"/>
        <s v="2016-03-06T07:25:00.000Z"/>
        <s v="2016-03-06T09:09:00.000Z"/>
        <s v="2016-03-30T13:17:00.000Z"/>
        <s v="2016-02-04T10:42:00.000Z"/>
        <s v="2016-02-01T22:10:00.000Z"/>
        <s v="2016-02-28T07:58:00.000Z"/>
        <s v="2016-01-05T23:33:00.000Z"/>
        <s v="2016-01-10T06:43:00.000Z"/>
        <s v="2016-02-18T22:23:00.000Z"/>
        <s v="2016-02-12T02:38:00.000Z"/>
        <s v="2016-03-22T20:50:00.000Z"/>
        <s v="2016-03-05T19:30:00.000Z"/>
        <s v="2016-03-06T11:20:00.000Z"/>
        <s v="2016-03-09T06:54:00.000Z"/>
        <s v="2016-03-09T20:00:00.000Z"/>
        <s v="2016-03-15T01:35:00.000Z"/>
        <s v="2016-03-12T14:18:00.000Z"/>
        <s v="2016-03-12T14:19:00.000Z"/>
        <s v="2016-03-16T02:02:00.000Z"/>
        <s v="2016-03-16T02:14:00.000Z"/>
        <s v="2016-03-24T14:17:00.000Z"/>
        <s v="2016-03-11T18:58:00.000Z"/>
        <s v="2016-02-06T08:56:00.000Z"/>
        <s v="2016-02-06T12:38:00.000Z"/>
        <s v="2016-02-06T21:55:00.000Z"/>
        <s v="2016-03-06T14:38:00.000Z"/>
        <s v="2016-02-12T19:16:00.000Z"/>
        <s v="2016-03-06T15:58:00.000Z"/>
        <s v="2016-03-06T16:00:00.000Z"/>
        <s v="2016-03-27T18:07:00.000Z"/>
        <s v="2016-03-27T16:51:00.000Z"/>
        <s v="2016-02-05T17:17:00.000Z"/>
        <s v="2016-03-24T12:46:00.000Z"/>
        <s v="2016-02-06T18:10:00.000Z"/>
        <s v="2016-02-06T18:18:00.000Z"/>
        <s v="2016-03-27T18:58:00.000Z"/>
        <s v="2016-03-26T19:00:00.000Z"/>
        <s v="2016-03-20T22:18:00.000Z"/>
        <s v="2016-03-26T12:25:00.000Z"/>
        <s v="2016-01-11T22:08:00.000Z"/>
        <s v="2016-02-01T00:06:00.000Z"/>
        <s v="2016-02-03T15:31:00.000Z"/>
        <s v="2016-01-18T17:04:00.000Z"/>
        <s v="2016-03-24T14:31:00.000Z"/>
        <s v="2016-02-18T12:25:00.000Z"/>
        <s v="2016-01-04T18:11:00.000Z"/>
        <s v="2016-03-14T09:08:00.000Z"/>
        <s v="2016-03-07T16:45:00.000Z"/>
        <s v="2016-02-24T17:57:00.000Z"/>
        <s v="2016-02-25T23:13:00.000Z"/>
        <s v="2016-03-26T15:50:00.000Z"/>
        <s v="2016-03-21T14:34:00.000Z"/>
        <s v="2016-03-27T00:02:00.000Z"/>
        <s v="2016-03-26T22:09:00.000Z"/>
        <s v="2016-01-02T11:49:00.000Z"/>
        <s v="2016-03-05T14:57:00.000Z"/>
        <s v="2016-03-06T11:33:00.000Z"/>
        <s v="2016-03-06T10:32:00.000Z"/>
        <s v="2016-01-02T14:42:00.000Z"/>
        <s v="2016-01-30T16:11:00.000Z"/>
        <s v="2016-01-01T13:25:00.000Z"/>
        <s v="2016-01-08T16:50:00.000Z"/>
        <s v="2016-01-01T04:37:00.000Z"/>
        <s v="2016-02-12T18:51:00.000Z"/>
        <s v="2016-03-01T02:30:00.000Z"/>
        <s v="2016-01-01T16:32:00.000Z"/>
        <s v="2016-01-13T16:27:00.000Z"/>
        <s v="2016-03-14T09:40:00.000Z"/>
        <s v="2016-03-08T23:04:00.000Z"/>
        <s v="2016-03-06T11:48:00.000Z"/>
        <s v="2016-03-19T04:07:00.000Z"/>
        <s v="2016-03-20T16:34:00.000Z"/>
        <s v="2016-03-20T17:36:00.000Z"/>
        <s v="2016-03-22T18:45:00.000Z"/>
        <s v="2016-03-18T22:38:00.000Z"/>
        <s v="2016-03-18T10:19:00.000Z"/>
        <s v="2016-03-18T22:05:00.000Z"/>
        <s v="2016-03-20T14:27:00.000Z"/>
        <s v="2016-03-28T15:33:00.000Z"/>
        <s v="2016-03-28T15:46:00.000Z"/>
        <s v="2016-03-25T06:46:00.000Z"/>
        <s v="2016-03-25T06:26:00.000Z"/>
        <s v="2016-03-29T11:28:00.000Z"/>
        <s v="2016-03-21T18:36:00.000Z"/>
        <s v="2016-03-18T00:32:00.000Z"/>
        <s v="2016-03-30T10:47:00.000Z"/>
        <s v="2016-03-01T21:19:00.000Z"/>
        <s v="2016-01-08T19:03:00.000Z"/>
        <s v="2016-03-01T17:04:00.000Z"/>
        <s v="2016-03-01T16:59:00.000Z"/>
        <s v="2016-03-02T21:29:00.000Z"/>
        <s v="2016-03-02T21:33:00.000Z"/>
        <s v="2016-03-23T21:06:00.000Z"/>
        <s v="2016-01-26T09:40:00.000Z"/>
        <s v="2016-02-11T07:04:00.000Z"/>
        <s v="2016-02-18T05:26:00.000Z"/>
        <s v="2016-02-18T15:46:00.000Z"/>
        <s v="2016-02-24T11:36:00.000Z"/>
        <s v="2016-03-18T13:42:00.000Z"/>
        <s v="2016-03-18T13:55:00.000Z"/>
        <s v="2016-02-10T21:46:00.000Z"/>
        <s v="2016-03-20T17:49:00.000Z"/>
        <s v="2016-02-23T13:18:00.000Z"/>
        <s v="2016-02-13T03:05:00.000Z"/>
        <s v="2016-02-14T14:01:00.000Z"/>
        <s v="2016-02-10T16:07:00.000Z"/>
        <s v="2016-03-23T19:33:00.000Z"/>
        <s v="2016-01-11T18:06:00.000Z"/>
        <s v="2016-01-11T17:33:00.000Z"/>
        <s v="2016-03-05T19:29:00.000Z"/>
        <s v="2016-03-20T19:58:00.000Z"/>
        <s v="2016-02-27T14:54:00.000Z"/>
        <s v="2016-02-27T15:14:00.000Z"/>
        <s v="2016-02-27T18:06:00.000Z"/>
        <s v="2016-03-03T08:11:00.000Z"/>
        <s v="2016-01-01T08:59:00.000Z"/>
        <s v="2016-01-01T09:02:00.000Z"/>
        <s v="2016-01-01T19:29:00.000Z"/>
        <s v="2016-03-23T13:09:00.000Z"/>
        <s v="2016-02-06T21:26:00.000Z"/>
        <s v="2016-02-27T11:32:00.000Z"/>
        <s v="2016-03-07T05:54:00.000Z"/>
        <s v="2016-03-01T08:27:00.000Z"/>
        <s v="2016-01-15T18:12:00.000Z"/>
        <s v="2016-03-30T07:53:00.000Z"/>
        <s v="2016-03-12T22:45:00.000Z"/>
        <s v="2016-03-30T13:56:00.000Z"/>
        <s v="2016-02-20T08:53:00.000Z"/>
        <s v="2016-02-15T19:52:00.000Z"/>
        <s v="2016-03-02T12:21:00.000Z"/>
        <s v="2016-02-14T09:56:00.000Z"/>
        <s v="2016-03-09T10:24:00.000Z"/>
        <s v="2016-02-13T21:58:00.000Z"/>
        <s v="2016-01-22T18:30:00.000Z"/>
        <s v="2016-02-18T15:25:00.000Z"/>
        <s v="2016-02-18T15:02:00.000Z"/>
        <s v="2016-02-18T07:57:00.000Z"/>
        <s v="2016-02-20T16:29:00.000Z"/>
        <s v="2016-03-03T20:08:00.000Z"/>
        <s v="2016-02-18T06:24:00.000Z"/>
        <s v="2016-02-18T09:37:00.000Z"/>
        <s v="2016-02-18T16:49:00.000Z"/>
        <s v="2016-03-06T16:41:00.000Z"/>
        <s v="2016-03-03T06:23:00.000Z"/>
        <s v="2016-03-27T12:37:00.000Z"/>
        <s v="2016-03-21T09:49:00.000Z"/>
        <s v="2016-03-30T10:40:00.000Z"/>
        <s v="2016-02-06T13:10:00.000Z"/>
        <s v="2016-03-06T23:22:00.000Z"/>
        <s v="2016-03-28T22:22:00.000Z"/>
        <s v="2016-03-25T00:59:00.000Z"/>
        <s v="2016-03-26T15:21:00.000Z"/>
        <s v="2016-03-03T13:22:00.000Z"/>
        <s v="2016-03-08T19:51:00.000Z"/>
        <s v="2016-03-16T00:32:00.000Z"/>
        <s v="2016-01-08T23:02:00.000Z"/>
        <s v="2016-01-08T23:13:00.000Z"/>
        <s v="2016-03-28T08:07:00.000Z"/>
        <s v="2016-03-27T07:10:00.000Z"/>
        <s v="2016-02-05T12:14:00.000Z"/>
        <s v="2016-02-26T15:14:00.000Z"/>
        <s v="2016-02-15T07:24:00.000Z"/>
        <s v="2016-02-24T11:54:00.000Z"/>
        <s v="2016-01-12T17:23:00.000Z"/>
        <s v="2016-01-28T11:45:00.000Z"/>
        <s v="2016-01-03T16:58:00.000Z"/>
        <s v="2016-01-21T19:19:00.000Z"/>
        <s v="2016-02-03T14:04:00.000Z"/>
        <s v="2016-01-01T16:43:00.000Z"/>
        <s v="2016-01-02T17:59:00.000Z"/>
        <s v="2016-01-04T19:01:00.000Z"/>
        <s v="2016-01-04T09:31:00.000Z"/>
        <s v="2016-01-04T12:21:00.000Z"/>
        <s v="2016-01-01T07:32:00.000Z"/>
        <s v="2016-01-03T17:00:00.000Z"/>
        <s v="2016-03-23T13:03:00.000Z"/>
        <s v="2016-03-13T12:57:00.000Z"/>
        <s v="2016-03-13T10:55:00.000Z"/>
        <s v="2016-03-31T19:35:00.000Z"/>
        <s v="2016-01-28T20:49:00.000Z"/>
        <s v="2016-01-07T01:00:00.000Z"/>
        <s v="2016-02-21T19:13:00.000Z"/>
        <s v="2016-02-20T15:26:00.000Z"/>
        <s v="2016-02-20T19:14:00.000Z"/>
        <s v="2016-03-02T11:10:00.000Z"/>
        <s v="2016-02-21T15:56:00.000Z"/>
        <s v="2016-02-24T20:21:00.000Z"/>
        <s v="2016-02-24T12:38:00.000Z"/>
        <s v="2016-03-01T20:49:00.000Z"/>
        <s v="2016-03-05T20:37:00.000Z"/>
        <s v="2016-03-31T22:16:00.000Z"/>
        <s v="2016-01-25T06:11:00.000Z"/>
        <s v="2016-01-24T16:16:00.000Z"/>
        <s v="2016-03-28T01:23:00.000Z"/>
        <s v="2016-03-28T15:14:00.000Z"/>
        <s v="2016-03-30T15:29:00.000Z"/>
        <s v="2016-03-08T12:27:00.000Z"/>
        <s v="2016-02-02T08:11:00.000Z"/>
        <s v="2016-02-20T03:51:00.000Z"/>
        <s v="2016-02-22T18:24:00.000Z"/>
        <s v="2016-02-16T17:45:00.000Z"/>
        <s v="2016-03-20T12:36:00.000Z"/>
        <s v="2016-03-20T12:44:00.000Z"/>
        <s v="2016-03-31T23:12:00.000Z"/>
        <s v="2016-03-31T23:22:00.000Z"/>
        <s v="2016-03-16T19:07:00.000Z"/>
        <s v="2016-03-31T22:46:00.000Z"/>
        <s v="2016-02-18T10:55:00.000Z"/>
        <s v="2016-02-15T21:55:00.000Z"/>
        <s v="2016-02-24T14:14:00.000Z"/>
        <s v="2016-02-18T08:44:00.000Z"/>
        <s v="2016-02-06T08:42:00.000Z"/>
        <s v="2016-03-06T11:16:00.000Z"/>
        <s v="2016-02-09T20:54:00.000Z"/>
        <s v="2016-02-11T21:21:00.000Z"/>
        <s v="2016-01-19T17:29:00.000Z"/>
        <s v="2016-03-13T12:06:00.000Z"/>
        <s v="2016-03-13T18:22:00.000Z"/>
        <s v="2016-01-19T22:29:00.000Z"/>
        <s v="2016-03-23T10:40:00.000Z"/>
        <s v="2016-03-19T22:17:00.000Z"/>
        <s v="2016-01-27T21:25:00.000Z"/>
        <s v="2016-03-20T15:54:00.000Z"/>
        <s v="2016-03-20T16:40:00.000Z"/>
        <s v="2016-02-23T06:06:00.000Z"/>
        <s v="2016-03-24T06:14:00.000Z"/>
        <s v="2016-02-11T21:05:00.000Z"/>
        <s v="2016-02-09T16:10:00.000Z"/>
        <s v="2016-03-03T10:06:00.000Z"/>
        <s v="2016-03-08T12:47:00.000Z"/>
        <s v="2016-01-12T21:58:00.000Z"/>
        <s v="2016-01-13T18:40:00.000Z"/>
        <s v="2016-01-11T22:00:00.000Z"/>
        <s v="2016-03-08T21:53:00.000Z"/>
        <s v="2016-03-10T20:00:00.000Z"/>
        <s v="2016-03-10T21:04:00.000Z"/>
        <s v="2016-02-18T20:28:00.000Z"/>
        <s v="2016-02-07T15:41:00.000Z"/>
        <s v="2016-02-07T22:15:00.000Z"/>
        <s v="2016-01-26T16:16:00.000Z"/>
        <s v="2016-03-30T21:19:00.000Z"/>
        <s v="2016-03-25T16:23:00.000Z"/>
        <s v="2016-03-17T12:13:00.000Z"/>
        <s v="2016-03-30T19:50:00.000Z"/>
        <s v="2016-01-27T15:54:00.000Z"/>
        <s v="2016-01-27T11:52:00.000Z"/>
        <s v="2016-01-25T12:07:00.000Z"/>
        <s v="2016-01-26T21:30:00.000Z"/>
        <s v="2016-03-23T09:31:00.000Z"/>
        <s v="2016-03-18T13:13:00.000Z"/>
        <s v="2016-02-24T16:56:00.000Z"/>
        <s v="2016-02-24T21:43:00.000Z"/>
        <s v="2016-02-27T11:07:00.000Z"/>
        <s v="2016-03-02T17:30:00.000Z"/>
        <s v="2016-03-23T22:07:00.000Z"/>
        <s v="2016-03-26T06:50:00.000Z"/>
        <s v="2016-03-26T22:57:00.000Z"/>
        <s v="2016-03-30T15:51:00.000Z"/>
        <s v="2016-03-31T10:09:00.000Z"/>
        <s v="2016-03-30T17:22:00.000Z"/>
        <s v="2016-03-29T23:33:00.000Z"/>
        <s v="2016-03-09T06:51:00.000Z"/>
        <s v="2016-03-12T02:19:00.000Z"/>
        <s v="2016-02-26T23:25:00.000Z"/>
        <s v="2016-02-26T23:47:00.000Z"/>
        <s v="2016-03-06T00:03:00.000Z"/>
        <s v="2016-03-01T07:01:00.000Z"/>
        <s v="2016-03-31T16:52:00.000Z"/>
        <s v="2016-01-21T14:05:00.000Z"/>
        <s v="2016-03-15T15:31:00.000Z"/>
        <s v="2016-03-01T18:03:00.000Z"/>
        <s v="2016-02-11T13:39:00.000Z"/>
        <s v="2016-02-10T21:55:00.000Z"/>
        <s v="2016-01-01T20:54:00.000Z"/>
        <s v="2016-01-22T15:02:00.000Z"/>
        <s v="2016-01-18T14:43:00.000Z"/>
        <s v="2016-01-22T16:42:00.000Z"/>
        <s v="2016-03-28T15:22:00.000Z"/>
        <s v="2016-03-30T20:57:00.000Z"/>
        <s v="2016-03-26T11:08:00.000Z"/>
        <s v="2016-02-19T23:17:00.000Z"/>
        <s v="2016-02-19T23:22:00.000Z"/>
        <s v="2016-02-06T17:00:00.000Z"/>
        <s v="2016-02-22T21:30:00.000Z"/>
        <s v="2016-03-11T19:13:00.000Z"/>
        <s v="2016-02-06T18:08:00.000Z"/>
        <s v="2016-01-17T17:21:00.000Z"/>
        <s v="2016-02-15T22:41:00.000Z"/>
        <s v="2016-03-10T22:10:00.000Z"/>
        <s v="2016-02-13T21:34:00.000Z"/>
        <s v="2016-02-26T13:17:00.000Z"/>
        <s v="2016-02-26T16:11:00.000Z"/>
        <s v="2016-02-27T18:24:00.000Z"/>
        <s v="2016-02-19T17:58:00.000Z"/>
        <s v="2016-02-19T03:15:00.000Z"/>
        <s v="2016-01-26T18:09:00.000Z"/>
        <s v="2016-03-18T15:20:00.000Z"/>
        <s v="2016-03-19T13:08:00.000Z"/>
        <s v="2016-03-16T12:37:00.000Z"/>
        <s v="2016-03-27T13:01:00.000Z"/>
        <s v="2016-03-27T22:22:00.000Z"/>
        <s v="2016-03-26T12:30:00.000Z"/>
        <s v="2016-03-21T07:30:00.000Z"/>
        <s v="2016-03-21T10:50:00.000Z"/>
        <s v="2016-03-21T20:23:00.000Z"/>
        <s v="2016-02-06T11:28:00.000Z"/>
        <s v="2016-02-20T15:41:00.000Z"/>
        <s v="2016-02-20T17:48:00.000Z"/>
        <s v="2016-02-21T00:02:00.000Z"/>
        <s v="2016-02-21T00:04:00.000Z"/>
        <s v="2016-01-21T11:02:00.000Z"/>
        <s v="2016-03-05T13:37:00.000Z"/>
        <s v="2016-03-16T13:31:00.000Z"/>
        <s v="2016-02-24T10:47:00.000Z"/>
        <s v="2016-02-21T20:18:00.000Z"/>
        <s v="2016-02-14T13:54:00.000Z"/>
        <s v="2016-03-24T03:41:00.000Z"/>
        <s v="2016-01-23T08:03:00.000Z"/>
        <s v="2016-03-04T23:35:00.000Z"/>
        <s v="2016-01-30T13:41:00.000Z"/>
        <s v="2016-01-28T22:21:00.000Z"/>
        <s v="2016-01-17T09:44:00.000Z"/>
        <s v="2016-03-07T12:18:00.000Z"/>
        <s v="2016-03-19T21:09:00.000Z"/>
        <s v="2016-03-19T21:11:00.000Z"/>
        <s v="2016-03-31T19:51:00.000Z"/>
        <s v="2016-03-20T15:51:00.000Z"/>
        <s v="2016-03-20T19:23:00.000Z"/>
        <s v="2016-03-28T18:19:00.000Z"/>
        <s v="2016-03-28T12:45:00.000Z"/>
        <s v="2016-03-30T13:30:00.000Z"/>
        <s v="2016-03-24T08:57:00.000Z"/>
        <s v="2016-03-21T09:30:00.000Z"/>
        <s v="2016-03-12T17:45:00.000Z"/>
        <s v="2016-03-14T10:49:00.000Z"/>
        <s v="2016-03-15T11:50:00.000Z"/>
        <s v="2016-03-12T18:05:00.000Z"/>
        <s v="2016-02-05T07:40:00.000Z"/>
        <s v="2016-03-02T00:04:00.000Z"/>
        <s v="2016-03-13T09:08:00.000Z"/>
        <s v="2016-03-13T23:05:00.000Z"/>
        <s v="2016-01-31T18:42:00.000Z"/>
        <s v="2016-01-17T18:56:00.000Z"/>
        <s v="2016-01-22T16:14:00.000Z"/>
        <s v="2016-01-30T21:20:00.000Z"/>
        <s v="2016-01-18T18:12:00.000Z"/>
        <s v="2016-03-31T19:57:00.000Z"/>
        <s v="2016-02-13T02:19:00.000Z"/>
        <s v="2016-01-18T23:54:00.000Z"/>
        <s v="2016-01-19T00:04:00.000Z"/>
        <s v="2016-01-22T16:13:00.000Z"/>
        <s v="2016-03-30T14:48:00.000Z"/>
        <s v="2016-02-21T11:10:00.000Z"/>
        <s v="2016-02-26T13:53:00.000Z"/>
        <s v="2016-02-26T16:01:00.000Z"/>
        <s v="2016-03-24T18:51:00.000Z"/>
        <s v="2016-03-19T14:05:00.000Z"/>
        <s v="2016-02-28T12:24:00.000Z"/>
        <s v="2016-03-01T18:28:00.000Z"/>
        <s v="2016-02-13T19:53:00.000Z"/>
        <s v="2016-02-13T19:56:00.000Z"/>
        <s v="2016-03-25T10:20:00.000Z"/>
        <s v="2016-03-26T14:38:00.000Z"/>
        <s v="2016-03-29T18:58:00.000Z"/>
        <s v="2016-03-03T17:46:00.000Z"/>
        <s v="2016-03-05T21:35:00.000Z"/>
        <s v="2016-02-19T12:41:00.000Z"/>
        <s v="2016-02-19T20:27:00.000Z"/>
        <s v="2016-03-22T06:33:00.000Z"/>
        <s v="2016-02-25T07:24:00.000Z"/>
        <s v="2016-01-27T08:12:00.000Z"/>
        <s v="2016-02-01T06:54:00.000Z"/>
        <s v="2016-03-20T22:39:00.000Z"/>
        <s v="2016-03-08T14:48:00.000Z"/>
        <s v="2016-03-09T07:31:00.000Z"/>
        <s v="2016-03-16T18:28:00.000Z"/>
        <s v="2016-02-25T23:38:00.000Z"/>
        <s v="2016-03-07T23:45:00.000Z"/>
        <s v="2016-03-30T09:28:00.000Z"/>
        <s v="2016-03-27T23:39:00.000Z"/>
        <s v="2016-03-29T17:54:00.000Z"/>
        <s v="2016-02-07T16:10:00.000Z"/>
        <s v="2016-01-31T16:20:00.000Z"/>
        <s v="2016-01-31T19:32:00.000Z"/>
        <s v="2016-02-19T09:18:00.000Z"/>
        <s v="2016-01-03T22:34:00.000Z"/>
        <s v="2016-01-05T07:06:00.000Z"/>
        <s v="2016-03-04T09:17:00.000Z"/>
        <s v="2016-03-12T22:20:00.000Z"/>
        <s v="2016-03-10T04:28:00.000Z"/>
        <s v="2016-01-31T13:28:00.000Z"/>
        <s v="2016-02-07T19:54:00.000Z"/>
        <s v="2016-01-29T14:37:00.000Z"/>
        <s v="2016-01-31T15:03:00.000Z"/>
        <s v="2016-02-06T08:14:00.000Z"/>
        <s v="2016-02-06T16:08:00.000Z"/>
        <s v="2016-01-29T21:43:00.000Z"/>
        <s v="2016-01-31T20:38:00.000Z"/>
        <s v="2016-01-26T23:50:00.000Z"/>
        <s v="2016-02-16T01:54:00.000Z"/>
        <s v="2016-02-16T15:23:00.000Z"/>
        <s v="2016-03-24T15:44:00.000Z"/>
        <s v="2016-01-09T17:41:00.000Z"/>
        <s v="2016-03-07T18:00:00.000Z"/>
        <s v="2016-03-11T08:29:00.000Z"/>
        <s v="2016-03-12T08:57:00.000Z"/>
        <s v="2016-03-12T19:12:00.000Z"/>
        <s v="2016-03-12T20:50:00.000Z"/>
        <s v="2016-02-13T07:15:00.000Z"/>
        <s v="2016-03-24T10:50:00.000Z"/>
        <s v="2016-03-11T14:26:00.000Z"/>
        <s v="2016-03-03T21:19:00.000Z"/>
        <s v="2016-03-03T20:38:00.000Z"/>
        <s v="2016-03-05T12:06:00.000Z"/>
        <s v="2016-03-05T15:47:00.000Z"/>
        <s v="2016-02-28T16:28:00.000Z"/>
        <s v="2016-03-09T14:11:00.000Z"/>
        <s v="2016-03-01T21:15:00.000Z"/>
        <s v="2016-03-22T09:26:00.000Z"/>
        <s v="2016-01-18T15:54:00.000Z"/>
        <s v="2016-01-20T19:07:00.000Z"/>
        <s v="2016-03-20T17:52:00.000Z"/>
        <s v="2016-01-25T18:43:00.000Z"/>
        <s v="2016-01-20T12:37:00.000Z"/>
        <s v="2016-02-18T01:09:00.000Z"/>
        <s v="2016-03-28T17:36:00.000Z"/>
        <s v="2016-02-14T11:36:00.000Z"/>
        <s v="2016-02-16T16:34:00.000Z"/>
        <s v="2016-02-16T11:44:00.000Z"/>
        <s v="2016-03-28T13:20:00.000Z"/>
        <s v="2016-01-24T21:41:00.000Z"/>
        <s v="2016-01-25T10:39:00.000Z"/>
        <s v="2016-01-08T05:51:00.000Z"/>
        <s v="2016-01-22T05:48:00.000Z"/>
        <s v="2016-01-18T07:37:00.000Z"/>
        <s v="2016-02-20T07:28:00.000Z"/>
        <s v="2016-02-20T16:30:00.000Z"/>
        <s v="2016-02-21T20:34:00.000Z"/>
        <s v="2016-02-19T15:27:00.000Z"/>
        <s v="2016-02-25T12:31:00.000Z"/>
        <s v="2016-02-25T09:54:00.000Z"/>
        <s v="2016-02-27T12:18:00.000Z"/>
        <s v="2016-03-15T10:53:00.000Z"/>
        <s v="2016-02-06T21:20:00.000Z"/>
        <s v="2016-03-13T10:41:00.000Z"/>
        <s v="2016-03-29T18:07:00.000Z"/>
        <s v="2016-02-19T11:08:00.000Z"/>
        <s v="2016-01-31T11:46:00.000Z"/>
        <s v="2016-01-23T12:34:00.000Z"/>
        <s v="2016-03-28T17:34:00.000Z"/>
        <s v="2016-03-28T18:27:00.000Z"/>
        <s v="2016-03-25T00:49:00.000Z"/>
        <s v="2016-02-20T06:16:00.000Z"/>
        <s v="2016-02-19T06:30:00.000Z"/>
        <s v="2016-02-05T08:49:00.000Z"/>
        <s v="2016-02-24T10:37:00.000Z"/>
        <s v="2016-01-30T18:54:00.000Z"/>
        <s v="2016-01-29T21:48:00.000Z"/>
        <s v="2016-01-28T18:26:00.000Z"/>
        <s v="2016-02-06T13:34:00.000Z"/>
        <s v="2016-02-23T18:55:00.000Z"/>
        <s v="2016-03-24T18:59:00.000Z"/>
        <s v="2016-03-24T08:36:00.000Z"/>
        <s v="2016-03-28T12:53:00.000Z"/>
        <s v="2016-03-27T18:06:00.000Z"/>
        <s v="2016-03-27T22:20:00.000Z"/>
        <s v="2016-03-24T10:53:00.000Z"/>
        <s v="2016-02-16T14:42:00.000Z"/>
        <s v="2016-02-15T19:17:00.000Z"/>
        <s v="2016-02-19T21:41:00.000Z"/>
        <s v="2016-02-12T15:38:00.000Z"/>
        <s v="2016-03-30T16:58:00.000Z"/>
        <s v="2016-02-18T00:03:00.000Z"/>
        <s v="2016-02-12T19:37:00.000Z"/>
        <s v="2016-01-05T21:31:00.000Z"/>
        <s v="2016-01-10T19:51:00.000Z"/>
        <s v="2016-01-14T12:03:00.000Z"/>
        <s v="2016-01-23T12:07:00.000Z"/>
        <s v="2016-02-25T18:11:00.000Z"/>
        <s v="2016-03-15T10:58:00.000Z"/>
        <s v="2016-02-10T08:38:00.000Z"/>
        <s v="2016-02-19T23:28:00.000Z"/>
        <s v="2016-02-27T11:56:00.000Z"/>
        <s v="2016-03-26T06:45:00.000Z"/>
        <s v="2016-01-27T17:43:00.000Z"/>
        <s v="2016-01-21T16:52:00.000Z"/>
        <s v="2016-01-31T12:54:00.000Z"/>
        <s v="2016-01-29T17:31:00.000Z"/>
        <s v="2016-03-31T22:49:00.000Z"/>
        <s v="2016-03-22T08:04:00.000Z"/>
        <s v="2016-03-05T18:01:00.000Z"/>
        <s v="2016-02-27T11:08:00.000Z"/>
        <s v="2016-02-28T13:57:00.000Z"/>
        <s v="2016-03-28T11:58:00.000Z"/>
        <s v="2016-03-26T19:25:00.000Z"/>
        <s v="2016-03-06T21:42:00.000Z"/>
        <s v="2016-03-06T22:14:00.000Z"/>
        <s v="2016-03-06T22:37:00.000Z"/>
        <s v="2016-03-05T11:28:00.000Z"/>
        <s v="2016-03-15T17:13:00.000Z"/>
        <s v="2016-03-29T17:41:00.000Z"/>
        <s v="2016-03-09T15:36:00.000Z"/>
        <s v="2016-03-03T21:55:00.000Z"/>
        <s v="2016-03-04T00:58:00.000Z"/>
        <s v="2016-03-04T10:23:00.000Z"/>
        <s v="2016-03-04T23:31:00.000Z"/>
        <s v="2016-03-05T22:20:00.000Z"/>
        <s v="2016-03-24T19:03:00.000Z"/>
        <s v="2016-03-20T17:27:00.000Z"/>
        <s v="2016-03-30T10:49:00.000Z"/>
        <s v="2016-03-12T10:50:00.000Z"/>
        <s v="2016-02-14T05:14:00.000Z"/>
        <s v="2016-02-18T11:20:00.000Z"/>
        <s v="2016-02-25T12:37:00.000Z"/>
        <s v="2016-03-06T17:47:00.000Z"/>
        <s v="2016-03-04T21:34:00.000Z"/>
        <s v="2016-03-30T13:07:00.000Z"/>
        <s v="2016-03-15T09:30:00.000Z"/>
        <s v="2016-03-15T15:53:00.000Z"/>
        <s v="2016-03-23T20:55:00.000Z"/>
        <s v="2016-03-27T14:24:00.000Z"/>
        <s v="2016-01-18T15:58:00.000Z"/>
        <s v="2016-02-28T10:25:00.000Z"/>
        <s v="2016-02-23T14:09:00.000Z"/>
        <s v="2016-01-01T16:03:00.000Z"/>
        <s v="2016-01-09T20:03:00.000Z"/>
        <s v="2016-01-14T18:16:00.000Z"/>
        <s v="2016-03-29T10:55:00.000Z"/>
        <s v="2016-03-29T12:42:00.000Z"/>
        <s v="2016-01-17T21:43:00.000Z"/>
        <s v="2016-01-29T18:37:00.000Z"/>
        <s v="2016-01-18T17:16:00.000Z"/>
        <s v="2016-01-15T13:02:00.000Z"/>
        <s v="2016-01-16T09:57:00.000Z"/>
        <s v="2016-01-22T12:21:00.000Z"/>
        <s v="2016-01-20T09:52:00.000Z"/>
        <s v="2016-01-16T17:42:00.000Z"/>
        <s v="2016-03-03T07:39:00.000Z"/>
        <s v="2016-03-01T06:22:00.000Z"/>
        <s v="2016-01-21T18:30:00.000Z"/>
        <s v="2016-03-13T19:39:00.000Z"/>
        <s v="2016-03-14T17:47:00.000Z"/>
        <s v="2016-03-19T12:54:00.000Z"/>
        <s v="2016-02-22T18:43:00.000Z"/>
        <s v="2016-01-08T05:47:00.000Z"/>
        <s v="2016-01-29T21:46:00.000Z"/>
        <s v="2016-03-03T06:41:00.000Z"/>
        <s v="2016-03-01T14:55:00.000Z"/>
        <s v="2016-01-06T08:28:00.000Z"/>
        <s v="2016-01-08T14:44:00.000Z"/>
        <s v="2016-01-06T10:33:00.000Z"/>
        <s v="2016-01-08T14:46:00.000Z"/>
        <s v="2016-01-08T20:59:00.000Z"/>
        <s v="2016-01-10T17:02:00.000Z"/>
        <s v="2016-01-05T22:13:00.000Z"/>
        <s v="2016-01-08T09:26:00.000Z"/>
        <s v="2016-03-19T16:14:00.000Z"/>
        <s v="2016-02-21T08:31:00.000Z"/>
        <s v="2016-02-20T15:02:00.000Z"/>
        <s v="2016-02-20T15:03:00.000Z"/>
        <s v="2016-02-21T09:20:00.000Z"/>
        <s v="2016-03-25T21:36:00.000Z"/>
        <s v="2016-03-24T12:02:00.000Z"/>
        <s v="2016-01-15T01:09:00.000Z"/>
        <s v="2016-01-18T11:35:00.000Z"/>
        <s v="2016-01-15T20:35:00.000Z"/>
        <s v="2016-03-27T17:12:00.000Z"/>
        <s v="2016-01-16T20:49:00.000Z"/>
        <s v="2016-02-02T11:23:00.000Z"/>
        <s v="2016-02-02T17:20:00.000Z"/>
        <s v="2016-02-04T23:35:00.000Z"/>
        <s v="2016-01-06T11:34:00.000Z"/>
        <s v="2016-01-02T08:46:00.000Z"/>
        <s v="2016-01-30T12:38:00.000Z"/>
        <s v="2016-01-29T13:29:00.000Z"/>
        <s v="2016-01-24T12:04:00.000Z"/>
        <s v="2016-01-24T10:15:00.000Z"/>
        <s v="2016-01-09T05:28:00.000Z"/>
        <s v="2016-03-04T21:02:00.000Z"/>
        <s v="2016-01-06T21:23:00.000Z"/>
        <s v="2016-02-27T21:44:00.000Z"/>
        <s v="2016-02-03T06:59:00.000Z"/>
        <s v="2016-01-27T06:15:00.000Z"/>
        <s v="2016-02-09T21:10:00.000Z"/>
        <s v="2016-03-11T09:38:00.000Z"/>
        <s v="2016-03-25T09:26:00.000Z"/>
        <s v="2016-03-26T12:02:00.000Z"/>
        <s v="2016-01-10T21:09:00.000Z"/>
        <s v="2016-02-09T19:45:00.000Z"/>
        <s v="2016-01-20T19:22:00.000Z"/>
        <s v="2016-03-06T22:44:00.000Z"/>
        <s v="2016-02-05T23:58:00.000Z"/>
        <s v="2016-02-06T22:34:00.000Z"/>
        <s v="2016-01-27T17:30:00.000Z"/>
        <s v="2016-02-19T19:25:00.000Z"/>
        <s v="2016-02-19T19:26:00.000Z"/>
        <s v="2016-02-19T19:57:00.000Z"/>
        <s v="2016-03-16T19:59:00.000Z"/>
        <s v="2016-03-02T14:01:00.000Z"/>
        <s v="2016-03-06T14:12:00.000Z"/>
        <s v="2016-03-24T07:45:00.000Z"/>
        <s v="2016-03-31T10:04:00.000Z"/>
        <s v="2016-03-30T14:06:00.000Z"/>
        <s v="2016-03-30T13:57:00.000Z"/>
        <s v="2016-03-03T20:32:00.000Z"/>
        <s v="2016-03-21T11:48:00.000Z"/>
        <s v="2016-02-01T23:35:00.000Z"/>
        <s v="2016-03-19T18:53:00.000Z"/>
        <s v="2016-02-19T06:10:00.000Z"/>
        <s v="2016-02-21T21:50:00.000Z"/>
        <s v="2016-03-06T14:46:00.000Z"/>
        <s v="2016-03-23T08:16:00.000Z"/>
        <s v="2016-03-20T14:59:00.000Z"/>
        <s v="2016-03-04T16:06:00.000Z"/>
        <s v="2016-03-04T16:09:00.000Z"/>
        <s v="2016-02-06T14:43:00.000Z"/>
        <s v="2016-02-23T18:03:00.000Z"/>
        <s v="2016-02-23T18:11:00.000Z"/>
        <s v="2016-03-25T15:54:00.000Z"/>
        <s v="2016-02-14T21:34:00.000Z"/>
        <s v="2016-02-02T19:35:00.000Z"/>
        <s v="2016-02-02T02:50:00.000Z"/>
        <s v="2016-02-02T02:33:00.000Z"/>
        <s v="2016-03-08T12:23:00.000Z"/>
        <s v="2016-03-06T14:26:00.000Z"/>
        <s v="2016-03-26T11:01:00.000Z"/>
        <s v="2016-02-08T14:09:00.000Z"/>
        <s v="2016-02-18T23:13:00.000Z"/>
        <s v="2016-02-27T21:56:00.000Z"/>
        <s v="2016-03-26T18:15:00.000Z"/>
        <s v="2016-03-05T14:04:00.000Z"/>
        <s v="2016-03-04T23:06:00.000Z"/>
        <s v="2016-03-20T15:03:00.000Z"/>
        <s v="2016-03-17T15:48:00.000Z"/>
        <s v="2016-03-03T04:28:00.000Z"/>
        <s v="2016-03-19T13:40:00.000Z"/>
        <s v="2016-03-19T11:14:00.000Z"/>
        <s v="2016-03-31T23:42:00.000Z"/>
        <s v="2016-03-07T20:36:00.000Z"/>
        <s v="2016-01-24T13:40:00.000Z"/>
        <s v="2016-03-30T21:40:00.000Z"/>
        <s v="2016-03-28T17:12:00.000Z"/>
        <s v="2016-03-03T17:42:00.000Z"/>
        <s v="2016-03-29T12:17:00.000Z"/>
        <s v="2016-03-29T17:32:00.000Z"/>
        <s v="2016-03-25T13:53:00.000Z"/>
        <s v="2016-03-03T14:41:00.000Z"/>
        <s v="2016-03-30T08:07:00.000Z"/>
        <s v="2016-02-19T13:51:00.000Z"/>
        <s v="2016-02-24T16:59:00.000Z"/>
        <s v="2016-02-03T11:55:00.000Z"/>
        <s v="2016-02-03T12:05:00.000Z"/>
        <s v="2016-03-09T15:18:00.000Z"/>
        <s v="2016-03-24T18:44:00.000Z"/>
        <s v="2016-03-30T17:04:00.000Z"/>
        <s v="2016-03-30T10:10:00.000Z"/>
        <s v="2016-03-29T22:22:00.000Z"/>
        <s v="2016-03-30T14:04:00.000Z"/>
        <s v="2016-03-25T17:32:00.000Z"/>
        <s v="2016-03-29T15:01:00.000Z"/>
        <s v="2016-01-11T09:09:00.000Z"/>
        <s v="2016-02-19T21:26:00.000Z"/>
        <s v="2016-02-04T21:46:00.000Z"/>
        <s v="2016-01-25T22:50:00.000Z"/>
        <s v="2016-01-07T19:42:00.000Z"/>
        <s v="2016-01-08T12:34:00.000Z"/>
        <s v="2016-02-14T08:00:00.000Z"/>
        <s v="2016-02-02T17:55:00.000Z"/>
        <s v="2016-01-31T18:01:00.000Z"/>
        <s v="2016-02-03T17:38:00.000Z"/>
        <s v="2016-03-13T16:35:00.000Z"/>
        <s v="2016-03-06T20:51:00.000Z"/>
        <s v="2016-02-27T20:02:00.000Z"/>
        <s v="2016-01-03T22:51:00.000Z"/>
        <s v="2016-01-08T14:25:00.000Z"/>
        <s v="2016-01-13T22:02:00.000Z"/>
        <s v="2016-03-11T20:07:00.000Z"/>
        <s v="2016-03-20T18:37:00.000Z"/>
        <s v="2016-03-31T21:33:00.000Z"/>
        <s v="2016-03-31T18:36:00.000Z"/>
        <s v="2016-03-29T23:49:00.000Z"/>
        <s v="2016-03-13T14:07:00.000Z"/>
        <s v="2016-03-19T11:27:00.000Z"/>
        <s v="2016-03-25T18:17:00.000Z"/>
        <s v="2016-03-25T12:44:00.000Z"/>
        <s v="2016-02-13T10:22:00.000Z"/>
        <s v="2016-03-26T08:05:00.000Z"/>
        <s v="2016-03-26T10:23:00.000Z"/>
        <s v="2016-02-25T14:36:00.000Z"/>
        <s v="2016-03-18T09:14:00.000Z"/>
        <s v="2016-03-19T20:36:00.000Z"/>
        <s v="2016-03-20T18:29:00.000Z"/>
        <s v="2016-03-16T07:38:00.000Z"/>
        <s v="2016-03-15T23:31:00.000Z"/>
        <s v="2016-02-05T16:31:00.000Z"/>
        <s v="2016-02-26T13:02:00.000Z"/>
        <s v="2016-02-15T17:50:00.000Z"/>
        <s v="2016-02-20T11:29:00.000Z"/>
        <s v="2016-02-20T11:31:00.000Z"/>
        <s v="2016-02-14T13:27:00.000Z"/>
        <s v="2016-02-21T17:17:00.000Z"/>
        <s v="2016-02-02T20:18:00.000Z"/>
        <s v="2016-02-25T09:45:00.000Z"/>
        <s v="2016-03-08T10:42:00.000Z"/>
        <s v="2016-01-01T21:19:00.000Z"/>
        <s v="2016-01-27T23:45:00.000Z"/>
        <s v="2016-01-12T14:21:00.000Z"/>
        <s v="2016-01-06T21:27:00.000Z"/>
        <s v="2016-02-12T23:59:00.000Z"/>
        <s v="2016-01-02T20:57:00.000Z"/>
        <s v="2016-01-01T08:26:00.000Z"/>
        <s v="2016-03-05T01:03:00.000Z"/>
        <s v="2016-03-05T15:25:00.000Z"/>
        <s v="2016-02-19T00:58:00.000Z"/>
        <s v="2016-02-12T19:32:00.000Z"/>
        <s v="2016-03-31T18:33:00.000Z"/>
        <s v="2016-03-27T00:47:00.000Z"/>
        <s v="2016-03-01T11:14:00.000Z"/>
        <s v="2016-03-29T18:00:00.000Z"/>
        <s v="2016-02-13T02:00:00.000Z"/>
        <s v="2016-02-06T20:53:00.000Z"/>
        <s v="2016-02-28T09:48:00.000Z"/>
        <s v="2016-02-28T14:29:00.000Z"/>
        <s v="2016-03-30T18:43:00.000Z"/>
        <s v="2016-01-11T15:11:00.000Z"/>
        <s v="2016-03-30T23:03:00.000Z"/>
        <s v="2016-02-15T08:37:00.000Z"/>
        <s v="2016-02-15T09:11:00.000Z"/>
        <s v="2016-02-19T10:42:00.000Z"/>
        <s v="2016-02-14T10:18:00.000Z"/>
        <s v="2016-01-12T22:32:00.000Z"/>
        <s v="2016-01-12T23:33:00.000Z"/>
        <s v="2016-01-09T12:30:00.000Z"/>
        <s v="2016-01-17T18:15:00.000Z"/>
        <s v="2016-01-08T15:31:00.000Z"/>
        <s v="2016-02-02T20:34:00.000Z"/>
        <s v="2016-02-09T11:55:00.000Z"/>
        <s v="2016-03-15T12:43:00.000Z"/>
        <s v="2016-03-26T08:32:00.000Z"/>
        <s v="2016-02-09T01:09:00.000Z"/>
        <s v="2016-03-19T20:41:00.000Z"/>
        <s v="2016-03-28T22:41:00.000Z"/>
        <s v="2016-03-30T16:25:00.000Z"/>
        <s v="2016-03-29T10:47:00.000Z"/>
        <s v="2016-02-20T14:58:00.000Z"/>
        <s v="2016-02-20T13:15:00.000Z"/>
        <s v="2016-02-24T09:00:00.000Z"/>
        <s v="2016-02-26T18:27:00.000Z"/>
        <s v="2016-02-19T11:13:00.000Z"/>
        <s v="2016-03-05T21:14:00.000Z"/>
        <s v="2016-03-24T16:48:00.000Z"/>
        <s v="2016-03-29T19:47:00.000Z"/>
        <s v="2016-02-25T16:08:00.000Z"/>
        <s v="2016-03-05T10:51:00.000Z"/>
        <s v="2016-03-12T22:22:00.000Z"/>
        <s v="2016-03-24T21:10:00.000Z"/>
        <s v="2016-03-31T00:38:00.000Z"/>
        <s v="2016-01-31T11:08:00.000Z"/>
        <s v="2016-01-29T18:32:00.000Z"/>
        <s v="2016-01-28T15:00:00.000Z"/>
        <s v="2016-02-01T10:12:00.000Z"/>
        <s v="2016-01-27T16:14:00.000Z"/>
        <s v="2016-01-27T07:55:00.000Z"/>
        <s v="2016-01-30T18:39:00.000Z"/>
        <s v="2016-01-08T05:10:00.000Z"/>
        <s v="2016-01-20T16:11:00.000Z"/>
        <s v="2016-01-19T01:01:00.000Z"/>
        <s v="2016-03-23T14:18:00.000Z"/>
        <s v="2016-03-31T11:49:00.000Z"/>
        <s v="2016-03-31T21:52:00.000Z"/>
        <s v="2016-01-13T07:04:00.000Z"/>
        <s v="2016-03-27T19:38:00.000Z"/>
        <s v="2016-03-27T19:45:00.000Z"/>
        <s v="2016-03-26T23:29:00.000Z"/>
        <s v="2016-03-01T06:12:00.000Z"/>
        <s v="2016-01-07T14:55:00.000Z"/>
        <s v="2016-01-11T07:47:00.000Z"/>
        <s v="2016-03-12T16:30:00.000Z"/>
        <s v="2016-03-09T17:32:00.000Z"/>
        <s v="2016-03-20T17:40:00.000Z"/>
        <s v="2016-03-22T22:00:00.000Z"/>
        <s v="2016-03-05T08:19:00.000Z"/>
        <s v="2016-02-22T10:15:00.000Z"/>
        <s v="2016-02-21T17:47:00.000Z"/>
        <s v="2016-02-12T08:24:00.000Z"/>
        <s v="2016-02-20T00:48:00.000Z"/>
        <s v="2016-02-19T18:47:00.000Z"/>
        <s v="2016-02-20T09:16:00.000Z"/>
        <s v="2016-02-20T09:20:00.000Z"/>
        <s v="2016-02-19T07:55:00.000Z"/>
        <s v="2016-02-19T08:22:00.000Z"/>
        <s v="2016-03-08T14:30:00.000Z"/>
        <s v="2016-03-18T13:25:00.000Z"/>
        <s v="2016-03-04T23:10:00.000Z"/>
        <s v="2016-02-18T07:53:00.000Z"/>
        <s v="2016-02-18T08:14:00.000Z"/>
        <s v="2016-03-06T19:10:00.000Z"/>
        <s v="2016-02-27T08:37:00.000Z"/>
        <s v="2016-03-12T13:09:00.000Z"/>
        <s v="2016-03-12T19:01:00.000Z"/>
        <s v="2016-03-21T14:33:00.000Z"/>
        <s v="2016-03-28T12:26:00.000Z"/>
        <s v="2016-02-22T21:08:00.000Z"/>
        <s v="2016-02-21T15:27:00.000Z"/>
        <s v="2016-02-21T19:15:00.000Z"/>
        <s v="2016-02-21T19:22:00.000Z"/>
        <s v="2016-02-26T11:51:00.000Z"/>
        <s v="2016-02-26T22:38:00.000Z"/>
        <s v="2016-03-02T13:59:00.000Z"/>
        <s v="2016-03-19T18:24:00.000Z"/>
        <s v="2016-03-01T11:03:00.000Z"/>
        <s v="2016-03-30T16:24:00.000Z"/>
        <s v="2016-03-11T04:21:00.000Z"/>
        <s v="2016-03-03T21:24:00.000Z"/>
        <s v="2016-03-15T13:01:00.000Z"/>
        <s v="2016-03-03T11:16:00.000Z"/>
        <s v="2016-03-03T17:09:00.000Z"/>
        <s v="2016-03-04T14:30:00.000Z"/>
        <s v="2016-01-08T09:29:00.000Z"/>
        <s v="2016-03-05T03:39:00.000Z"/>
        <s v="2016-03-19T13:38:00.000Z"/>
        <s v="2016-03-20T00:08:00.000Z"/>
        <s v="2016-02-20T16:36:00.000Z"/>
        <s v="2016-02-18T21:48:00.000Z"/>
        <s v="2016-02-21T22:17:00.000Z"/>
        <s v="2016-03-09T19:24:00.000Z"/>
        <s v="2016-03-13T21:10:00.000Z"/>
        <s v="2016-03-19T14:08:00.000Z"/>
        <s v="2016-03-30T11:58:00.000Z"/>
        <s v="2016-03-04T14:09:00.000Z"/>
        <s v="2016-03-07T22:46:00.000Z"/>
        <s v="2016-02-03T19:41:00.000Z"/>
        <s v="2016-02-25T14:46:00.000Z"/>
        <s v="2016-02-23T01:29:00.000Z"/>
        <s v="2016-03-02T16:01:00.000Z"/>
        <s v="2016-03-03T21:26:00.000Z"/>
        <s v="2016-02-27T21:05:00.000Z"/>
        <s v="2016-03-16T22:23:00.000Z"/>
        <s v="2016-03-16T22:25:00.000Z"/>
        <s v="2016-03-15T19:47:00.000Z"/>
        <s v="2016-03-09T16:14:00.000Z"/>
        <s v="2016-03-03T07:25:00.000Z"/>
        <s v="2016-03-03T07:26:00.000Z"/>
        <s v="2016-03-21T22:38:00.000Z"/>
        <s v="2016-01-10T18:07:00.000Z"/>
        <s v="2016-01-31T23:05:00.000Z"/>
        <s v="2016-01-11T05:44:00.000Z"/>
        <s v="2016-01-30T21:56:00.000Z"/>
        <s v="2016-01-25T22:01:00.000Z"/>
        <s v="2016-01-11T08:12:00.000Z"/>
        <s v="2016-02-21T09:30:00.000Z"/>
        <s v="2016-02-20T11:18:00.000Z"/>
        <s v="2016-03-13T16:15:00.000Z"/>
        <s v="2016-02-02T21:11:00.000Z"/>
        <s v="2016-03-11T07:21:00.000Z"/>
        <s v="2016-01-21T00:16:00.000Z"/>
        <s v="2016-01-11T09:11:00.000Z"/>
        <s v="2016-01-30T21:11:00.000Z"/>
        <s v="2016-02-27T09:49:00.000Z"/>
        <s v="2016-03-15T17:42:00.000Z"/>
        <s v="2016-03-01T21:48:00.000Z"/>
        <s v="2016-02-02T08:59:00.000Z"/>
        <s v="2016-01-15T17:44:00.000Z"/>
        <s v="2016-01-13T19:50:00.000Z"/>
        <s v="2016-01-16T16:38:00.000Z"/>
        <s v="2016-01-14T19:06:00.000Z"/>
        <s v="2016-01-12T15:07:00.000Z"/>
        <s v="2016-02-07T21:02:00.000Z"/>
        <s v="2016-01-28T21:40:00.000Z"/>
        <s v="2016-01-27T11:27:00.000Z"/>
        <s v="2016-01-27T10:14:00.000Z"/>
        <s v="2016-01-07T19:11:00.000Z"/>
        <s v="2016-01-29T07:10:00.000Z"/>
        <s v="2016-01-16T13:27:00.000Z"/>
        <s v="2016-03-31T21:10:00.000Z"/>
        <s v="2016-02-28T14:22:00.000Z"/>
        <s v="2016-03-24T09:04:00.000Z"/>
        <s v="2016-03-22T00:48:00.000Z"/>
        <s v="2016-03-20T16:01:00.000Z"/>
        <s v="2016-02-13T12:28:00.000Z"/>
        <s v="2016-03-13T18:44:00.000Z"/>
        <s v="2016-03-18T21:32:00.000Z"/>
        <s v="2016-02-11T20:38:00.000Z"/>
        <s v="2016-02-10T12:41:00.000Z"/>
        <s v="2016-02-06T22:53:00.000Z"/>
        <s v="2016-02-13T23:02:00.000Z"/>
        <s v="2016-03-06T22:03:00.000Z"/>
        <s v="2016-03-07T22:10:00.000Z"/>
        <s v="2016-02-11T22:56:00.000Z"/>
        <m/>
      </sharedItems>
    </cacheField>
    <cacheField name="HourOfDay" numFmtId="0">
      <sharedItems containsString="0" containsBlank="1" containsNumber="1" containsInteger="1" minValue="0" maxValue="23"/>
    </cacheField>
    <cacheField name="DayOfWeek" numFmtId="0">
      <sharedItems containsBlank="1" count="8">
        <s v="Mon"/>
        <s v="Wed"/>
        <s v="Fri"/>
        <s v="Tue"/>
        <s v="Sun"/>
        <s v="Thu"/>
        <s v="Sat"/>
        <m/>
      </sharedItems>
    </cacheField>
    <cacheField name="MonthofYear" numFmtId="0">
      <sharedItems containsBlank="1" count="4">
        <s v="Jan"/>
        <s v="Mar"/>
        <s v="Feb"/>
        <m/>
      </sharedItems>
    </cacheField>
    <cacheField name="Day_classification" numFmtId="0">
      <sharedItems containsBlank="1" count="3">
        <s v="Weekday"/>
        <s v="Weekend"/>
        <m/>
      </sharedItems>
    </cacheField>
    <cacheField name="Age_Group" numFmtId="0">
      <sharedItems containsBlank="1" count="7">
        <s v="Young_adult"/>
        <s v="Under_18"/>
        <s v="Senior_citizens"/>
        <s v="Youth"/>
        <s v="Adults"/>
        <s v="Pensioners"/>
        <m/>
      </sharedItems>
    </cacheField>
    <cacheField name="Time_bucket" numFmtId="0">
      <sharedItems containsBlank="1" count="6">
        <s v="Family_time"/>
        <s v="Morning_views"/>
        <s v="Daytime_viewing"/>
        <s v="Night_Owl"/>
        <s v="Latenight_viewing"/>
        <m/>
      </sharedItems>
    </cacheField>
  </cacheFields>
  <extLst>
    <ext xmlns:x14="http://schemas.microsoft.com/office/spreadsheetml/2009/9/main" uri="{725AE2AE-9491-48be-B2B4-4EB974FC3084}">
      <x14:pivotCacheDefinition pivotCacheId="1942947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903994"/>
    <x v="0"/>
    <x v="0"/>
    <n v="33"/>
    <x v="0"/>
    <d v="2016-01-04T18:09:00"/>
    <x v="0"/>
    <x v="0"/>
    <x v="0"/>
    <n v="18"/>
    <x v="0"/>
    <x v="0"/>
    <x v="0"/>
    <x v="0"/>
    <x v="0"/>
  </r>
  <r>
    <n v="802352"/>
    <x v="1"/>
    <x v="1"/>
    <n v="0"/>
    <x v="1"/>
    <d v="2016-03-30T09:04:00"/>
    <x v="1"/>
    <x v="1"/>
    <x v="1"/>
    <n v="9"/>
    <x v="1"/>
    <x v="1"/>
    <x v="0"/>
    <x v="1"/>
    <x v="1"/>
  </r>
  <r>
    <n v="866125"/>
    <x v="0"/>
    <x v="2"/>
    <n v="30"/>
    <x v="2"/>
    <d v="2016-03-30T17:01:00"/>
    <x v="2"/>
    <x v="1"/>
    <x v="2"/>
    <n v="17"/>
    <x v="1"/>
    <x v="1"/>
    <x v="0"/>
    <x v="0"/>
    <x v="0"/>
  </r>
  <r>
    <n v="2425604"/>
    <x v="2"/>
    <x v="3"/>
    <n v="51"/>
    <x v="2"/>
    <d v="2016-03-25T15:23:00"/>
    <x v="3"/>
    <x v="1"/>
    <x v="3"/>
    <n v="15"/>
    <x v="2"/>
    <x v="1"/>
    <x v="0"/>
    <x v="2"/>
    <x v="2"/>
  </r>
  <r>
    <n v="793571"/>
    <x v="2"/>
    <x v="3"/>
    <n v="9"/>
    <x v="3"/>
    <d v="2016-02-02T17:18:00"/>
    <x v="4"/>
    <x v="2"/>
    <x v="4"/>
    <n v="17"/>
    <x v="3"/>
    <x v="2"/>
    <x v="0"/>
    <x v="1"/>
    <x v="0"/>
  </r>
  <r>
    <n v="793571"/>
    <x v="2"/>
    <x v="3"/>
    <n v="9"/>
    <x v="3"/>
    <d v="2016-03-18T16:56:00"/>
    <x v="3"/>
    <x v="3"/>
    <x v="5"/>
    <n v="16"/>
    <x v="2"/>
    <x v="1"/>
    <x v="0"/>
    <x v="1"/>
    <x v="2"/>
  </r>
  <r>
    <n v="793571"/>
    <x v="2"/>
    <x v="3"/>
    <n v="9"/>
    <x v="3"/>
    <d v="2016-03-20T04:25:00"/>
    <x v="5"/>
    <x v="4"/>
    <x v="6"/>
    <n v="4"/>
    <x v="4"/>
    <x v="1"/>
    <x v="1"/>
    <x v="1"/>
    <x v="3"/>
  </r>
  <r>
    <n v="793571"/>
    <x v="2"/>
    <x v="3"/>
    <n v="9"/>
    <x v="3"/>
    <d v="2016-02-03T06:43:00"/>
    <x v="6"/>
    <x v="3"/>
    <x v="7"/>
    <n v="6"/>
    <x v="1"/>
    <x v="2"/>
    <x v="0"/>
    <x v="1"/>
    <x v="1"/>
  </r>
  <r>
    <n v="819248"/>
    <x v="1"/>
    <x v="1"/>
    <n v="0"/>
    <x v="1"/>
    <d v="2016-03-31T10:01:00"/>
    <x v="7"/>
    <x v="4"/>
    <x v="8"/>
    <n v="10"/>
    <x v="5"/>
    <x v="1"/>
    <x v="0"/>
    <x v="1"/>
    <x v="1"/>
  </r>
  <r>
    <n v="820321"/>
    <x v="0"/>
    <x v="2"/>
    <n v="26"/>
    <x v="4"/>
    <d v="2016-01-09T08:25:00"/>
    <x v="8"/>
    <x v="5"/>
    <x v="9"/>
    <n v="8"/>
    <x v="6"/>
    <x v="0"/>
    <x v="1"/>
    <x v="3"/>
    <x v="1"/>
  </r>
  <r>
    <n v="892453"/>
    <x v="0"/>
    <x v="2"/>
    <n v="34"/>
    <x v="2"/>
    <d v="2016-03-24T09:09:00"/>
    <x v="9"/>
    <x v="6"/>
    <x v="10"/>
    <n v="9"/>
    <x v="5"/>
    <x v="1"/>
    <x v="0"/>
    <x v="0"/>
    <x v="1"/>
  </r>
  <r>
    <n v="892453"/>
    <x v="0"/>
    <x v="2"/>
    <n v="34"/>
    <x v="2"/>
    <d v="2016-03-26T15:33:00"/>
    <x v="10"/>
    <x v="1"/>
    <x v="11"/>
    <n v="15"/>
    <x v="6"/>
    <x v="1"/>
    <x v="1"/>
    <x v="0"/>
    <x v="2"/>
  </r>
  <r>
    <n v="828799"/>
    <x v="0"/>
    <x v="1"/>
    <n v="38"/>
    <x v="5"/>
    <d v="2016-02-28T08:09:00"/>
    <x v="11"/>
    <x v="4"/>
    <x v="12"/>
    <n v="8"/>
    <x v="4"/>
    <x v="2"/>
    <x v="1"/>
    <x v="0"/>
    <x v="1"/>
  </r>
  <r>
    <n v="787656"/>
    <x v="0"/>
    <x v="4"/>
    <n v="26"/>
    <x v="2"/>
    <d v="2016-02-15T08:40:00"/>
    <x v="12"/>
    <x v="4"/>
    <x v="13"/>
    <n v="8"/>
    <x v="0"/>
    <x v="2"/>
    <x v="0"/>
    <x v="3"/>
    <x v="1"/>
  </r>
  <r>
    <n v="939566"/>
    <x v="0"/>
    <x v="1"/>
    <n v="29"/>
    <x v="5"/>
    <d v="2016-01-09T15:40:00"/>
    <x v="13"/>
    <x v="6"/>
    <x v="14"/>
    <n v="15"/>
    <x v="6"/>
    <x v="0"/>
    <x v="1"/>
    <x v="0"/>
    <x v="2"/>
  </r>
  <r>
    <n v="771778"/>
    <x v="0"/>
    <x v="4"/>
    <n v="21"/>
    <x v="3"/>
    <d v="2016-02-05T13:47:00"/>
    <x v="14"/>
    <x v="6"/>
    <x v="15"/>
    <n v="13"/>
    <x v="2"/>
    <x v="2"/>
    <x v="0"/>
    <x v="3"/>
    <x v="2"/>
  </r>
  <r>
    <n v="808915"/>
    <x v="0"/>
    <x v="4"/>
    <n v="37"/>
    <x v="4"/>
    <d v="2016-02-20T05:34:00"/>
    <x v="15"/>
    <x v="7"/>
    <x v="16"/>
    <n v="5"/>
    <x v="6"/>
    <x v="2"/>
    <x v="1"/>
    <x v="0"/>
    <x v="1"/>
  </r>
  <r>
    <n v="808915"/>
    <x v="0"/>
    <x v="4"/>
    <n v="37"/>
    <x v="4"/>
    <d v="2016-02-21T13:45:00"/>
    <x v="16"/>
    <x v="6"/>
    <x v="17"/>
    <n v="13"/>
    <x v="4"/>
    <x v="2"/>
    <x v="1"/>
    <x v="0"/>
    <x v="2"/>
  </r>
  <r>
    <n v="808916"/>
    <x v="0"/>
    <x v="1"/>
    <n v="43"/>
    <x v="0"/>
    <d v="2016-02-19T11:03:00"/>
    <x v="17"/>
    <x v="8"/>
    <x v="18"/>
    <n v="11"/>
    <x v="2"/>
    <x v="2"/>
    <x v="0"/>
    <x v="4"/>
    <x v="2"/>
  </r>
  <r>
    <n v="808916"/>
    <x v="0"/>
    <x v="1"/>
    <n v="43"/>
    <x v="0"/>
    <d v="2016-02-19T20:15:00"/>
    <x v="11"/>
    <x v="3"/>
    <x v="19"/>
    <n v="20"/>
    <x v="2"/>
    <x v="2"/>
    <x v="0"/>
    <x v="4"/>
    <x v="0"/>
  </r>
  <r>
    <n v="831679"/>
    <x v="0"/>
    <x v="0"/>
    <n v="27"/>
    <x v="2"/>
    <d v="2016-03-01T03:17:00"/>
    <x v="16"/>
    <x v="6"/>
    <x v="20"/>
    <n v="3"/>
    <x v="3"/>
    <x v="1"/>
    <x v="0"/>
    <x v="3"/>
    <x v="3"/>
  </r>
  <r>
    <n v="808917"/>
    <x v="0"/>
    <x v="4"/>
    <n v="34"/>
    <x v="2"/>
    <d v="2016-02-27T18:13:00"/>
    <x v="18"/>
    <x v="9"/>
    <x v="21"/>
    <n v="18"/>
    <x v="6"/>
    <x v="2"/>
    <x v="1"/>
    <x v="0"/>
    <x v="0"/>
  </r>
  <r>
    <n v="808917"/>
    <x v="0"/>
    <x v="4"/>
    <n v="34"/>
    <x v="2"/>
    <d v="2016-02-28T20:20:00"/>
    <x v="19"/>
    <x v="6"/>
    <x v="22"/>
    <n v="20"/>
    <x v="4"/>
    <x v="2"/>
    <x v="1"/>
    <x v="0"/>
    <x v="0"/>
  </r>
  <r>
    <n v="939570"/>
    <x v="0"/>
    <x v="1"/>
    <n v="22"/>
    <x v="2"/>
    <d v="2016-03-30T23:52:00"/>
    <x v="20"/>
    <x v="10"/>
    <x v="23"/>
    <n v="23"/>
    <x v="1"/>
    <x v="1"/>
    <x v="0"/>
    <x v="3"/>
    <x v="4"/>
  </r>
  <r>
    <n v="880213"/>
    <x v="0"/>
    <x v="2"/>
    <n v="33"/>
    <x v="2"/>
    <d v="2016-03-30T19:13:00"/>
    <x v="21"/>
    <x v="11"/>
    <x v="24"/>
    <n v="19"/>
    <x v="1"/>
    <x v="1"/>
    <x v="0"/>
    <x v="0"/>
    <x v="0"/>
  </r>
  <r>
    <n v="2255459"/>
    <x v="0"/>
    <x v="4"/>
    <n v="22"/>
    <x v="5"/>
    <d v="2016-03-09T08:51:00"/>
    <x v="22"/>
    <x v="2"/>
    <x v="25"/>
    <n v="8"/>
    <x v="1"/>
    <x v="1"/>
    <x v="0"/>
    <x v="3"/>
    <x v="1"/>
  </r>
  <r>
    <n v="2255459"/>
    <x v="0"/>
    <x v="4"/>
    <n v="22"/>
    <x v="5"/>
    <d v="2016-03-29T02:23:00"/>
    <x v="23"/>
    <x v="4"/>
    <x v="26"/>
    <n v="2"/>
    <x v="3"/>
    <x v="1"/>
    <x v="0"/>
    <x v="3"/>
    <x v="3"/>
  </r>
  <r>
    <n v="808921"/>
    <x v="0"/>
    <x v="4"/>
    <n v="24"/>
    <x v="5"/>
    <d v="2016-03-02T06:01:00"/>
    <x v="24"/>
    <x v="0"/>
    <x v="27"/>
    <n v="6"/>
    <x v="1"/>
    <x v="1"/>
    <x v="0"/>
    <x v="3"/>
    <x v="1"/>
  </r>
  <r>
    <n v="808921"/>
    <x v="0"/>
    <x v="4"/>
    <n v="24"/>
    <x v="5"/>
    <d v="2016-03-06T15:58:00"/>
    <x v="25"/>
    <x v="4"/>
    <x v="28"/>
    <n v="15"/>
    <x v="4"/>
    <x v="1"/>
    <x v="1"/>
    <x v="3"/>
    <x v="2"/>
  </r>
  <r>
    <n v="831683"/>
    <x v="0"/>
    <x v="2"/>
    <n v="36"/>
    <x v="4"/>
    <d v="2016-02-25T19:48:00"/>
    <x v="2"/>
    <x v="12"/>
    <x v="29"/>
    <n v="19"/>
    <x v="5"/>
    <x v="2"/>
    <x v="0"/>
    <x v="0"/>
    <x v="0"/>
  </r>
  <r>
    <n v="831683"/>
    <x v="0"/>
    <x v="2"/>
    <n v="36"/>
    <x v="4"/>
    <d v="2016-02-25T15:59:00"/>
    <x v="11"/>
    <x v="11"/>
    <x v="30"/>
    <n v="15"/>
    <x v="5"/>
    <x v="2"/>
    <x v="0"/>
    <x v="0"/>
    <x v="2"/>
  </r>
  <r>
    <n v="831683"/>
    <x v="0"/>
    <x v="2"/>
    <n v="36"/>
    <x v="4"/>
    <d v="2016-03-04T07:21:00"/>
    <x v="11"/>
    <x v="1"/>
    <x v="31"/>
    <n v="7"/>
    <x v="2"/>
    <x v="1"/>
    <x v="0"/>
    <x v="0"/>
    <x v="1"/>
  </r>
  <r>
    <n v="761775"/>
    <x v="0"/>
    <x v="1"/>
    <n v="24"/>
    <x v="2"/>
    <d v="2016-02-04T14:12:00"/>
    <x v="26"/>
    <x v="5"/>
    <x v="32"/>
    <n v="14"/>
    <x v="5"/>
    <x v="2"/>
    <x v="0"/>
    <x v="3"/>
    <x v="2"/>
  </r>
  <r>
    <n v="761775"/>
    <x v="0"/>
    <x v="1"/>
    <n v="24"/>
    <x v="2"/>
    <d v="2016-01-25T15:59:00"/>
    <x v="15"/>
    <x v="7"/>
    <x v="33"/>
    <n v="15"/>
    <x v="0"/>
    <x v="0"/>
    <x v="0"/>
    <x v="3"/>
    <x v="2"/>
  </r>
  <r>
    <n v="866131"/>
    <x v="0"/>
    <x v="4"/>
    <n v="44"/>
    <x v="0"/>
    <d v="2016-03-07T17:16:00"/>
    <x v="27"/>
    <x v="3"/>
    <x v="34"/>
    <n v="17"/>
    <x v="0"/>
    <x v="1"/>
    <x v="0"/>
    <x v="4"/>
    <x v="0"/>
  </r>
  <r>
    <n v="904019"/>
    <x v="2"/>
    <x v="4"/>
    <n v="25"/>
    <x v="2"/>
    <d v="2016-03-29T16:03:00"/>
    <x v="28"/>
    <x v="11"/>
    <x v="35"/>
    <n v="16"/>
    <x v="3"/>
    <x v="1"/>
    <x v="0"/>
    <x v="3"/>
    <x v="2"/>
  </r>
  <r>
    <n v="939575"/>
    <x v="0"/>
    <x v="4"/>
    <n v="25"/>
    <x v="2"/>
    <d v="2016-03-10T21:30:00"/>
    <x v="29"/>
    <x v="11"/>
    <x v="36"/>
    <n v="21"/>
    <x v="5"/>
    <x v="1"/>
    <x v="0"/>
    <x v="3"/>
    <x v="0"/>
  </r>
  <r>
    <n v="808923"/>
    <x v="0"/>
    <x v="5"/>
    <n v="23"/>
    <x v="3"/>
    <d v="2016-02-21T18:03:00"/>
    <x v="30"/>
    <x v="7"/>
    <x v="37"/>
    <n v="18"/>
    <x v="4"/>
    <x v="2"/>
    <x v="1"/>
    <x v="3"/>
    <x v="0"/>
  </r>
  <r>
    <n v="808923"/>
    <x v="0"/>
    <x v="5"/>
    <n v="23"/>
    <x v="3"/>
    <d v="2016-02-17T18:45:00"/>
    <x v="31"/>
    <x v="0"/>
    <x v="38"/>
    <n v="18"/>
    <x v="1"/>
    <x v="2"/>
    <x v="0"/>
    <x v="3"/>
    <x v="0"/>
  </r>
  <r>
    <n v="933014"/>
    <x v="0"/>
    <x v="4"/>
    <n v="19"/>
    <x v="6"/>
    <d v="2016-03-31T23:24:00"/>
    <x v="11"/>
    <x v="3"/>
    <x v="39"/>
    <n v="23"/>
    <x v="5"/>
    <x v="1"/>
    <x v="0"/>
    <x v="3"/>
    <x v="4"/>
  </r>
  <r>
    <n v="892461"/>
    <x v="0"/>
    <x v="2"/>
    <n v="30"/>
    <x v="4"/>
    <d v="2016-03-12T08:24:00"/>
    <x v="32"/>
    <x v="2"/>
    <x v="40"/>
    <n v="8"/>
    <x v="6"/>
    <x v="1"/>
    <x v="1"/>
    <x v="0"/>
    <x v="1"/>
  </r>
  <r>
    <n v="892461"/>
    <x v="0"/>
    <x v="2"/>
    <n v="30"/>
    <x v="4"/>
    <d v="2016-03-09T03:54:00"/>
    <x v="11"/>
    <x v="2"/>
    <x v="41"/>
    <n v="3"/>
    <x v="1"/>
    <x v="1"/>
    <x v="0"/>
    <x v="0"/>
    <x v="3"/>
  </r>
  <r>
    <n v="2255463"/>
    <x v="0"/>
    <x v="4"/>
    <n v="43"/>
    <x v="2"/>
    <d v="2016-03-31T13:17:00"/>
    <x v="33"/>
    <x v="3"/>
    <x v="42"/>
    <n v="13"/>
    <x v="5"/>
    <x v="1"/>
    <x v="0"/>
    <x v="4"/>
    <x v="2"/>
  </r>
  <r>
    <n v="808926"/>
    <x v="0"/>
    <x v="0"/>
    <n v="22"/>
    <x v="0"/>
    <d v="2016-02-19T07:20:00"/>
    <x v="34"/>
    <x v="6"/>
    <x v="43"/>
    <n v="7"/>
    <x v="2"/>
    <x v="2"/>
    <x v="0"/>
    <x v="3"/>
    <x v="1"/>
  </r>
  <r>
    <n v="808926"/>
    <x v="0"/>
    <x v="0"/>
    <n v="22"/>
    <x v="0"/>
    <d v="2016-02-21T06:27:00"/>
    <x v="35"/>
    <x v="4"/>
    <x v="44"/>
    <n v="6"/>
    <x v="4"/>
    <x v="2"/>
    <x v="1"/>
    <x v="3"/>
    <x v="1"/>
  </r>
  <r>
    <n v="808926"/>
    <x v="0"/>
    <x v="0"/>
    <n v="22"/>
    <x v="0"/>
    <d v="2016-02-02T10:17:00"/>
    <x v="36"/>
    <x v="0"/>
    <x v="45"/>
    <n v="10"/>
    <x v="3"/>
    <x v="2"/>
    <x v="0"/>
    <x v="3"/>
    <x v="1"/>
  </r>
  <r>
    <n v="808926"/>
    <x v="0"/>
    <x v="0"/>
    <n v="22"/>
    <x v="0"/>
    <d v="2016-02-25T06:38:00"/>
    <x v="37"/>
    <x v="6"/>
    <x v="46"/>
    <n v="6"/>
    <x v="5"/>
    <x v="2"/>
    <x v="0"/>
    <x v="3"/>
    <x v="1"/>
  </r>
  <r>
    <n v="808926"/>
    <x v="0"/>
    <x v="0"/>
    <n v="22"/>
    <x v="0"/>
    <d v="2016-02-18T12:00:00"/>
    <x v="38"/>
    <x v="5"/>
    <x v="47"/>
    <n v="12"/>
    <x v="5"/>
    <x v="2"/>
    <x v="0"/>
    <x v="3"/>
    <x v="2"/>
  </r>
  <r>
    <n v="771783"/>
    <x v="0"/>
    <x v="2"/>
    <n v="23"/>
    <x v="2"/>
    <d v="2016-02-01T12:51:00"/>
    <x v="7"/>
    <x v="0"/>
    <x v="48"/>
    <n v="12"/>
    <x v="0"/>
    <x v="2"/>
    <x v="0"/>
    <x v="3"/>
    <x v="2"/>
  </r>
  <r>
    <n v="771783"/>
    <x v="0"/>
    <x v="2"/>
    <n v="23"/>
    <x v="2"/>
    <d v="2016-01-30T21:43:00"/>
    <x v="39"/>
    <x v="2"/>
    <x v="49"/>
    <n v="21"/>
    <x v="6"/>
    <x v="0"/>
    <x v="1"/>
    <x v="3"/>
    <x v="0"/>
  </r>
  <r>
    <n v="2368357"/>
    <x v="0"/>
    <x v="4"/>
    <n v="37"/>
    <x v="2"/>
    <d v="2016-03-02T12:32:00"/>
    <x v="40"/>
    <x v="7"/>
    <x v="50"/>
    <n v="12"/>
    <x v="1"/>
    <x v="1"/>
    <x v="0"/>
    <x v="0"/>
    <x v="2"/>
  </r>
  <r>
    <n v="2368357"/>
    <x v="0"/>
    <x v="4"/>
    <n v="37"/>
    <x v="2"/>
    <d v="2016-03-08T10:46:00"/>
    <x v="41"/>
    <x v="6"/>
    <x v="51"/>
    <n v="10"/>
    <x v="3"/>
    <x v="1"/>
    <x v="0"/>
    <x v="0"/>
    <x v="1"/>
  </r>
  <r>
    <n v="2368357"/>
    <x v="0"/>
    <x v="4"/>
    <n v="37"/>
    <x v="2"/>
    <d v="2016-03-08T15:28:00"/>
    <x v="11"/>
    <x v="5"/>
    <x v="52"/>
    <n v="15"/>
    <x v="3"/>
    <x v="1"/>
    <x v="0"/>
    <x v="0"/>
    <x v="2"/>
  </r>
  <r>
    <n v="2368357"/>
    <x v="0"/>
    <x v="4"/>
    <n v="37"/>
    <x v="2"/>
    <d v="2016-03-08T15:28:00"/>
    <x v="11"/>
    <x v="0"/>
    <x v="52"/>
    <n v="15"/>
    <x v="3"/>
    <x v="1"/>
    <x v="0"/>
    <x v="0"/>
    <x v="2"/>
  </r>
  <r>
    <n v="788616"/>
    <x v="2"/>
    <x v="4"/>
    <n v="44"/>
    <x v="2"/>
    <d v="2016-01-27T12:03:00"/>
    <x v="9"/>
    <x v="7"/>
    <x v="53"/>
    <n v="12"/>
    <x v="1"/>
    <x v="0"/>
    <x v="0"/>
    <x v="4"/>
    <x v="2"/>
  </r>
  <r>
    <n v="771785"/>
    <x v="0"/>
    <x v="4"/>
    <n v="43"/>
    <x v="2"/>
    <d v="2016-02-28T16:53:00"/>
    <x v="42"/>
    <x v="1"/>
    <x v="54"/>
    <n v="16"/>
    <x v="4"/>
    <x v="2"/>
    <x v="1"/>
    <x v="4"/>
    <x v="2"/>
  </r>
  <r>
    <n v="630977"/>
    <x v="0"/>
    <x v="0"/>
    <n v="28"/>
    <x v="2"/>
    <d v="2016-01-16T09:52:00"/>
    <x v="22"/>
    <x v="0"/>
    <x v="55"/>
    <n v="9"/>
    <x v="6"/>
    <x v="0"/>
    <x v="1"/>
    <x v="3"/>
    <x v="1"/>
  </r>
  <r>
    <n v="808928"/>
    <x v="0"/>
    <x v="4"/>
    <n v="35"/>
    <x v="2"/>
    <d v="2016-02-13T19:35:00"/>
    <x v="43"/>
    <x v="4"/>
    <x v="56"/>
    <n v="19"/>
    <x v="6"/>
    <x v="2"/>
    <x v="1"/>
    <x v="0"/>
    <x v="0"/>
  </r>
  <r>
    <n v="808928"/>
    <x v="0"/>
    <x v="4"/>
    <n v="35"/>
    <x v="2"/>
    <d v="2016-03-01T12:15:00"/>
    <x v="11"/>
    <x v="1"/>
    <x v="57"/>
    <n v="12"/>
    <x v="3"/>
    <x v="1"/>
    <x v="0"/>
    <x v="0"/>
    <x v="2"/>
  </r>
  <r>
    <n v="831694"/>
    <x v="0"/>
    <x v="1"/>
    <n v="25"/>
    <x v="6"/>
    <d v="2016-03-01T22:07:00"/>
    <x v="44"/>
    <x v="11"/>
    <x v="58"/>
    <n v="22"/>
    <x v="3"/>
    <x v="1"/>
    <x v="0"/>
    <x v="3"/>
    <x v="4"/>
  </r>
  <r>
    <n v="808929"/>
    <x v="2"/>
    <x v="4"/>
    <n v="32"/>
    <x v="3"/>
    <d v="2016-01-11T18:18:00"/>
    <x v="45"/>
    <x v="11"/>
    <x v="59"/>
    <n v="18"/>
    <x v="0"/>
    <x v="0"/>
    <x v="0"/>
    <x v="0"/>
    <x v="0"/>
  </r>
  <r>
    <n v="808929"/>
    <x v="2"/>
    <x v="4"/>
    <n v="32"/>
    <x v="3"/>
    <d v="2016-01-24T18:35:00"/>
    <x v="46"/>
    <x v="5"/>
    <x v="60"/>
    <n v="18"/>
    <x v="4"/>
    <x v="0"/>
    <x v="1"/>
    <x v="0"/>
    <x v="0"/>
  </r>
  <r>
    <n v="892465"/>
    <x v="0"/>
    <x v="4"/>
    <n v="36"/>
    <x v="2"/>
    <d v="2016-03-13T18:39:00"/>
    <x v="47"/>
    <x v="5"/>
    <x v="61"/>
    <n v="18"/>
    <x v="4"/>
    <x v="1"/>
    <x v="1"/>
    <x v="0"/>
    <x v="0"/>
  </r>
  <r>
    <n v="892465"/>
    <x v="0"/>
    <x v="4"/>
    <n v="36"/>
    <x v="2"/>
    <d v="2016-03-14T10:38:00"/>
    <x v="48"/>
    <x v="4"/>
    <x v="62"/>
    <n v="10"/>
    <x v="0"/>
    <x v="1"/>
    <x v="0"/>
    <x v="0"/>
    <x v="1"/>
  </r>
  <r>
    <n v="892465"/>
    <x v="0"/>
    <x v="4"/>
    <n v="36"/>
    <x v="2"/>
    <d v="2016-03-18T14:04:00"/>
    <x v="49"/>
    <x v="12"/>
    <x v="63"/>
    <n v="14"/>
    <x v="2"/>
    <x v="1"/>
    <x v="0"/>
    <x v="0"/>
    <x v="2"/>
  </r>
  <r>
    <n v="892465"/>
    <x v="0"/>
    <x v="4"/>
    <n v="36"/>
    <x v="2"/>
    <d v="2016-03-19T07:23:00"/>
    <x v="50"/>
    <x v="13"/>
    <x v="64"/>
    <n v="7"/>
    <x v="6"/>
    <x v="1"/>
    <x v="1"/>
    <x v="0"/>
    <x v="1"/>
  </r>
  <r>
    <n v="892465"/>
    <x v="0"/>
    <x v="4"/>
    <n v="36"/>
    <x v="2"/>
    <d v="2016-03-31T10:45:00"/>
    <x v="51"/>
    <x v="11"/>
    <x v="65"/>
    <n v="10"/>
    <x v="5"/>
    <x v="1"/>
    <x v="0"/>
    <x v="0"/>
    <x v="1"/>
  </r>
  <r>
    <n v="892465"/>
    <x v="0"/>
    <x v="4"/>
    <n v="36"/>
    <x v="2"/>
    <d v="2016-03-30T14:13:00"/>
    <x v="18"/>
    <x v="11"/>
    <x v="66"/>
    <n v="14"/>
    <x v="1"/>
    <x v="1"/>
    <x v="0"/>
    <x v="0"/>
    <x v="2"/>
  </r>
  <r>
    <n v="820335"/>
    <x v="0"/>
    <x v="2"/>
    <n v="17"/>
    <x v="2"/>
    <d v="2016-03-08T09:19:00"/>
    <x v="52"/>
    <x v="1"/>
    <x v="67"/>
    <n v="9"/>
    <x v="3"/>
    <x v="1"/>
    <x v="0"/>
    <x v="1"/>
    <x v="1"/>
  </r>
  <r>
    <n v="820335"/>
    <x v="0"/>
    <x v="2"/>
    <n v="17"/>
    <x v="2"/>
    <d v="2016-03-19T05:10:00"/>
    <x v="9"/>
    <x v="5"/>
    <x v="68"/>
    <n v="5"/>
    <x v="6"/>
    <x v="1"/>
    <x v="1"/>
    <x v="1"/>
    <x v="1"/>
  </r>
  <r>
    <n v="820335"/>
    <x v="0"/>
    <x v="2"/>
    <n v="17"/>
    <x v="2"/>
    <d v="2016-03-12T09:38:00"/>
    <x v="53"/>
    <x v="1"/>
    <x v="69"/>
    <n v="9"/>
    <x v="6"/>
    <x v="1"/>
    <x v="1"/>
    <x v="1"/>
    <x v="1"/>
  </r>
  <r>
    <n v="820335"/>
    <x v="0"/>
    <x v="2"/>
    <n v="17"/>
    <x v="2"/>
    <d v="2016-03-12T09:48:00"/>
    <x v="54"/>
    <x v="1"/>
    <x v="70"/>
    <n v="9"/>
    <x v="6"/>
    <x v="1"/>
    <x v="1"/>
    <x v="1"/>
    <x v="1"/>
  </r>
  <r>
    <n v="820335"/>
    <x v="0"/>
    <x v="2"/>
    <n v="17"/>
    <x v="2"/>
    <d v="2016-03-09T13:14:00"/>
    <x v="55"/>
    <x v="1"/>
    <x v="71"/>
    <n v="13"/>
    <x v="1"/>
    <x v="1"/>
    <x v="0"/>
    <x v="1"/>
    <x v="2"/>
  </r>
  <r>
    <n v="820335"/>
    <x v="0"/>
    <x v="2"/>
    <n v="17"/>
    <x v="2"/>
    <d v="2016-03-26T12:44:00"/>
    <x v="56"/>
    <x v="1"/>
    <x v="72"/>
    <n v="12"/>
    <x v="6"/>
    <x v="1"/>
    <x v="1"/>
    <x v="1"/>
    <x v="2"/>
  </r>
  <r>
    <n v="830836"/>
    <x v="0"/>
    <x v="1"/>
    <n v="21"/>
    <x v="7"/>
    <d v="2016-03-02T11:07:00"/>
    <x v="57"/>
    <x v="3"/>
    <x v="73"/>
    <n v="11"/>
    <x v="1"/>
    <x v="1"/>
    <x v="0"/>
    <x v="3"/>
    <x v="2"/>
  </r>
  <r>
    <n v="770963"/>
    <x v="1"/>
    <x v="1"/>
    <n v="0"/>
    <x v="1"/>
    <d v="2016-03-24T09:45:00"/>
    <x v="58"/>
    <x v="6"/>
    <x v="74"/>
    <n v="9"/>
    <x v="5"/>
    <x v="1"/>
    <x v="0"/>
    <x v="1"/>
    <x v="1"/>
  </r>
  <r>
    <n v="770963"/>
    <x v="1"/>
    <x v="1"/>
    <n v="0"/>
    <x v="1"/>
    <d v="2016-02-25T09:28:00"/>
    <x v="59"/>
    <x v="1"/>
    <x v="75"/>
    <n v="9"/>
    <x v="5"/>
    <x v="2"/>
    <x v="0"/>
    <x v="1"/>
    <x v="1"/>
  </r>
  <r>
    <n v="904035"/>
    <x v="0"/>
    <x v="4"/>
    <n v="23"/>
    <x v="2"/>
    <d v="2016-03-29T19:34:00"/>
    <x v="60"/>
    <x v="8"/>
    <x v="76"/>
    <n v="19"/>
    <x v="3"/>
    <x v="1"/>
    <x v="0"/>
    <x v="3"/>
    <x v="0"/>
  </r>
  <r>
    <n v="868888"/>
    <x v="0"/>
    <x v="2"/>
    <n v="21"/>
    <x v="2"/>
    <d v="2016-03-30T11:55:00"/>
    <x v="61"/>
    <x v="1"/>
    <x v="77"/>
    <n v="11"/>
    <x v="1"/>
    <x v="1"/>
    <x v="0"/>
    <x v="3"/>
    <x v="2"/>
  </r>
  <r>
    <n v="808930"/>
    <x v="0"/>
    <x v="2"/>
    <n v="35"/>
    <x v="6"/>
    <d v="2016-02-22T08:29:00"/>
    <x v="62"/>
    <x v="6"/>
    <x v="78"/>
    <n v="8"/>
    <x v="0"/>
    <x v="2"/>
    <x v="0"/>
    <x v="0"/>
    <x v="1"/>
  </r>
  <r>
    <n v="808930"/>
    <x v="0"/>
    <x v="2"/>
    <n v="35"/>
    <x v="6"/>
    <d v="2016-03-02T09:38:00"/>
    <x v="63"/>
    <x v="1"/>
    <x v="79"/>
    <n v="9"/>
    <x v="1"/>
    <x v="1"/>
    <x v="0"/>
    <x v="0"/>
    <x v="1"/>
  </r>
  <r>
    <n v="808930"/>
    <x v="0"/>
    <x v="2"/>
    <n v="35"/>
    <x v="6"/>
    <d v="2016-03-11T08:40:00"/>
    <x v="11"/>
    <x v="1"/>
    <x v="80"/>
    <n v="8"/>
    <x v="2"/>
    <x v="1"/>
    <x v="0"/>
    <x v="0"/>
    <x v="1"/>
  </r>
  <r>
    <n v="808930"/>
    <x v="0"/>
    <x v="2"/>
    <n v="35"/>
    <x v="6"/>
    <d v="2016-02-24T11:23:00"/>
    <x v="64"/>
    <x v="1"/>
    <x v="81"/>
    <n v="11"/>
    <x v="1"/>
    <x v="2"/>
    <x v="0"/>
    <x v="0"/>
    <x v="2"/>
  </r>
  <r>
    <n v="808930"/>
    <x v="0"/>
    <x v="2"/>
    <n v="35"/>
    <x v="6"/>
    <d v="2016-02-24T08:33:00"/>
    <x v="65"/>
    <x v="1"/>
    <x v="82"/>
    <n v="8"/>
    <x v="1"/>
    <x v="2"/>
    <x v="0"/>
    <x v="0"/>
    <x v="1"/>
  </r>
  <r>
    <n v="808930"/>
    <x v="0"/>
    <x v="2"/>
    <n v="35"/>
    <x v="6"/>
    <d v="2016-02-27T17:11:00"/>
    <x v="66"/>
    <x v="6"/>
    <x v="83"/>
    <n v="17"/>
    <x v="6"/>
    <x v="2"/>
    <x v="1"/>
    <x v="0"/>
    <x v="0"/>
  </r>
  <r>
    <n v="808930"/>
    <x v="0"/>
    <x v="2"/>
    <n v="35"/>
    <x v="6"/>
    <d v="2016-02-23T15:26:00"/>
    <x v="51"/>
    <x v="1"/>
    <x v="84"/>
    <n v="15"/>
    <x v="3"/>
    <x v="2"/>
    <x v="0"/>
    <x v="0"/>
    <x v="2"/>
  </r>
  <r>
    <n v="808930"/>
    <x v="0"/>
    <x v="2"/>
    <n v="35"/>
    <x v="6"/>
    <d v="2016-03-30T12:19:00"/>
    <x v="67"/>
    <x v="1"/>
    <x v="85"/>
    <n v="12"/>
    <x v="1"/>
    <x v="1"/>
    <x v="0"/>
    <x v="0"/>
    <x v="2"/>
  </r>
  <r>
    <n v="879414"/>
    <x v="0"/>
    <x v="0"/>
    <n v="30"/>
    <x v="0"/>
    <d v="2016-03-31T21:19:00"/>
    <x v="68"/>
    <x v="12"/>
    <x v="86"/>
    <n v="21"/>
    <x v="5"/>
    <x v="1"/>
    <x v="0"/>
    <x v="0"/>
    <x v="0"/>
  </r>
  <r>
    <n v="771791"/>
    <x v="0"/>
    <x v="4"/>
    <n v="34"/>
    <x v="2"/>
    <d v="2016-03-14T11:51:00"/>
    <x v="69"/>
    <x v="4"/>
    <x v="87"/>
    <n v="11"/>
    <x v="0"/>
    <x v="1"/>
    <x v="0"/>
    <x v="0"/>
    <x v="2"/>
  </r>
  <r>
    <n v="771791"/>
    <x v="0"/>
    <x v="4"/>
    <n v="34"/>
    <x v="2"/>
    <d v="2016-03-06T05:02:00"/>
    <x v="70"/>
    <x v="14"/>
    <x v="88"/>
    <n v="5"/>
    <x v="4"/>
    <x v="1"/>
    <x v="1"/>
    <x v="0"/>
    <x v="1"/>
  </r>
  <r>
    <n v="819259"/>
    <x v="2"/>
    <x v="3"/>
    <n v="10"/>
    <x v="0"/>
    <d v="2016-02-26T15:53:00"/>
    <x v="71"/>
    <x v="6"/>
    <x v="89"/>
    <n v="15"/>
    <x v="2"/>
    <x v="2"/>
    <x v="0"/>
    <x v="1"/>
    <x v="2"/>
  </r>
  <r>
    <n v="2285528"/>
    <x v="0"/>
    <x v="1"/>
    <n v="26"/>
    <x v="0"/>
    <d v="2016-03-15T10:20:00"/>
    <x v="72"/>
    <x v="1"/>
    <x v="90"/>
    <n v="10"/>
    <x v="3"/>
    <x v="1"/>
    <x v="0"/>
    <x v="3"/>
    <x v="1"/>
  </r>
  <r>
    <n v="868892"/>
    <x v="0"/>
    <x v="4"/>
    <n v="20"/>
    <x v="2"/>
    <d v="2016-03-12T14:47:00"/>
    <x v="73"/>
    <x v="0"/>
    <x v="91"/>
    <n v="14"/>
    <x v="6"/>
    <x v="1"/>
    <x v="1"/>
    <x v="3"/>
    <x v="2"/>
  </r>
  <r>
    <n v="808971"/>
    <x v="0"/>
    <x v="4"/>
    <n v="36"/>
    <x v="2"/>
    <d v="2016-02-08T10:45:00"/>
    <x v="74"/>
    <x v="3"/>
    <x v="92"/>
    <n v="10"/>
    <x v="0"/>
    <x v="2"/>
    <x v="0"/>
    <x v="0"/>
    <x v="1"/>
  </r>
  <r>
    <n v="868892"/>
    <x v="0"/>
    <x v="4"/>
    <n v="20"/>
    <x v="2"/>
    <d v="2016-03-10T10:50:00"/>
    <x v="17"/>
    <x v="4"/>
    <x v="93"/>
    <n v="10"/>
    <x v="5"/>
    <x v="1"/>
    <x v="0"/>
    <x v="3"/>
    <x v="1"/>
  </r>
  <r>
    <n v="866251"/>
    <x v="0"/>
    <x v="4"/>
    <n v="30"/>
    <x v="2"/>
    <d v="2016-03-10T19:13:00"/>
    <x v="75"/>
    <x v="3"/>
    <x v="94"/>
    <n v="19"/>
    <x v="5"/>
    <x v="1"/>
    <x v="0"/>
    <x v="0"/>
    <x v="0"/>
  </r>
  <r>
    <n v="779369"/>
    <x v="0"/>
    <x v="4"/>
    <n v="36"/>
    <x v="2"/>
    <d v="2016-02-11T19:35:00"/>
    <x v="76"/>
    <x v="12"/>
    <x v="95"/>
    <n v="19"/>
    <x v="5"/>
    <x v="2"/>
    <x v="0"/>
    <x v="0"/>
    <x v="0"/>
  </r>
  <r>
    <n v="779369"/>
    <x v="0"/>
    <x v="4"/>
    <n v="36"/>
    <x v="2"/>
    <d v="2016-01-20T05:20:00"/>
    <x v="77"/>
    <x v="8"/>
    <x v="96"/>
    <n v="5"/>
    <x v="1"/>
    <x v="0"/>
    <x v="0"/>
    <x v="0"/>
    <x v="1"/>
  </r>
  <r>
    <n v="779369"/>
    <x v="0"/>
    <x v="4"/>
    <n v="36"/>
    <x v="2"/>
    <d v="2016-01-18T13:06:00"/>
    <x v="78"/>
    <x v="12"/>
    <x v="97"/>
    <n v="13"/>
    <x v="0"/>
    <x v="0"/>
    <x v="0"/>
    <x v="0"/>
    <x v="2"/>
  </r>
  <r>
    <n v="1281997"/>
    <x v="2"/>
    <x v="0"/>
    <n v="14"/>
    <x v="7"/>
    <d v="2016-02-20T16:51:00"/>
    <x v="79"/>
    <x v="5"/>
    <x v="98"/>
    <n v="16"/>
    <x v="6"/>
    <x v="2"/>
    <x v="1"/>
    <x v="1"/>
    <x v="2"/>
  </r>
  <r>
    <n v="615057"/>
    <x v="2"/>
    <x v="4"/>
    <n v="25"/>
    <x v="6"/>
    <d v="2016-01-10T07:34:00"/>
    <x v="80"/>
    <x v="4"/>
    <x v="99"/>
    <n v="7"/>
    <x v="4"/>
    <x v="0"/>
    <x v="1"/>
    <x v="3"/>
    <x v="1"/>
  </r>
  <r>
    <n v="786055"/>
    <x v="2"/>
    <x v="3"/>
    <n v="25"/>
    <x v="2"/>
    <d v="2016-01-19T18:42:00"/>
    <x v="81"/>
    <x v="4"/>
    <x v="100"/>
    <n v="18"/>
    <x v="3"/>
    <x v="0"/>
    <x v="0"/>
    <x v="3"/>
    <x v="0"/>
  </r>
  <r>
    <n v="786055"/>
    <x v="2"/>
    <x v="3"/>
    <n v="25"/>
    <x v="2"/>
    <d v="2016-01-18T17:49:00"/>
    <x v="82"/>
    <x v="15"/>
    <x v="101"/>
    <n v="17"/>
    <x v="0"/>
    <x v="0"/>
    <x v="0"/>
    <x v="3"/>
    <x v="0"/>
  </r>
  <r>
    <n v="850656"/>
    <x v="0"/>
    <x v="4"/>
    <n v="26"/>
    <x v="5"/>
    <d v="2016-03-05T21:12:00"/>
    <x v="83"/>
    <x v="11"/>
    <x v="102"/>
    <n v="21"/>
    <x v="6"/>
    <x v="1"/>
    <x v="1"/>
    <x v="3"/>
    <x v="0"/>
  </r>
  <r>
    <n v="850656"/>
    <x v="0"/>
    <x v="4"/>
    <n v="26"/>
    <x v="5"/>
    <d v="2016-03-06T05:25:00"/>
    <x v="11"/>
    <x v="4"/>
    <x v="103"/>
    <n v="5"/>
    <x v="4"/>
    <x v="1"/>
    <x v="1"/>
    <x v="3"/>
    <x v="1"/>
  </r>
  <r>
    <n v="850656"/>
    <x v="0"/>
    <x v="4"/>
    <n v="26"/>
    <x v="5"/>
    <d v="2016-03-06T07:09:00"/>
    <x v="11"/>
    <x v="11"/>
    <x v="104"/>
    <n v="7"/>
    <x v="4"/>
    <x v="1"/>
    <x v="1"/>
    <x v="3"/>
    <x v="1"/>
  </r>
  <r>
    <n v="2368365"/>
    <x v="0"/>
    <x v="0"/>
    <n v="27"/>
    <x v="6"/>
    <d v="2016-03-30T11:17:00"/>
    <x v="84"/>
    <x v="1"/>
    <x v="105"/>
    <n v="11"/>
    <x v="1"/>
    <x v="1"/>
    <x v="0"/>
    <x v="3"/>
    <x v="2"/>
  </r>
  <r>
    <n v="764296"/>
    <x v="0"/>
    <x v="0"/>
    <n v="23"/>
    <x v="0"/>
    <d v="2016-02-04T08:42:00"/>
    <x v="85"/>
    <x v="8"/>
    <x v="106"/>
    <n v="8"/>
    <x v="5"/>
    <x v="2"/>
    <x v="0"/>
    <x v="3"/>
    <x v="1"/>
  </r>
  <r>
    <n v="764296"/>
    <x v="0"/>
    <x v="0"/>
    <n v="23"/>
    <x v="0"/>
    <d v="2016-02-01T20:10:00"/>
    <x v="11"/>
    <x v="0"/>
    <x v="107"/>
    <n v="20"/>
    <x v="0"/>
    <x v="2"/>
    <x v="0"/>
    <x v="3"/>
    <x v="0"/>
  </r>
  <r>
    <n v="779373"/>
    <x v="0"/>
    <x v="4"/>
    <n v="40"/>
    <x v="6"/>
    <d v="2016-02-28T05:58:00"/>
    <x v="86"/>
    <x v="12"/>
    <x v="108"/>
    <n v="5"/>
    <x v="4"/>
    <x v="2"/>
    <x v="1"/>
    <x v="4"/>
    <x v="1"/>
  </r>
  <r>
    <n v="771793"/>
    <x v="2"/>
    <x v="2"/>
    <n v="40"/>
    <x v="0"/>
    <d v="2016-01-05T21:33:00"/>
    <x v="87"/>
    <x v="6"/>
    <x v="109"/>
    <n v="21"/>
    <x v="3"/>
    <x v="0"/>
    <x v="0"/>
    <x v="4"/>
    <x v="0"/>
  </r>
  <r>
    <n v="771793"/>
    <x v="2"/>
    <x v="2"/>
    <n v="40"/>
    <x v="0"/>
    <d v="2016-01-10T04:43:00"/>
    <x v="11"/>
    <x v="6"/>
    <x v="110"/>
    <n v="4"/>
    <x v="4"/>
    <x v="0"/>
    <x v="1"/>
    <x v="4"/>
    <x v="3"/>
  </r>
  <r>
    <n v="771793"/>
    <x v="2"/>
    <x v="2"/>
    <n v="40"/>
    <x v="0"/>
    <d v="2016-02-18T20:23:00"/>
    <x v="2"/>
    <x v="0"/>
    <x v="111"/>
    <n v="20"/>
    <x v="5"/>
    <x v="2"/>
    <x v="0"/>
    <x v="4"/>
    <x v="0"/>
  </r>
  <r>
    <n v="771793"/>
    <x v="2"/>
    <x v="2"/>
    <n v="40"/>
    <x v="0"/>
    <d v="2016-02-12T00:38:00"/>
    <x v="88"/>
    <x v="0"/>
    <x v="112"/>
    <n v="0"/>
    <x v="2"/>
    <x v="2"/>
    <x v="0"/>
    <x v="4"/>
    <x v="3"/>
  </r>
  <r>
    <n v="1106084"/>
    <x v="0"/>
    <x v="4"/>
    <n v="37"/>
    <x v="2"/>
    <d v="2016-03-22T18:50:00"/>
    <x v="89"/>
    <x v="4"/>
    <x v="113"/>
    <n v="18"/>
    <x v="3"/>
    <x v="1"/>
    <x v="0"/>
    <x v="0"/>
    <x v="0"/>
  </r>
  <r>
    <n v="1106084"/>
    <x v="0"/>
    <x v="4"/>
    <n v="37"/>
    <x v="2"/>
    <d v="2016-03-05T17:30:00"/>
    <x v="33"/>
    <x v="6"/>
    <x v="114"/>
    <n v="17"/>
    <x v="6"/>
    <x v="1"/>
    <x v="1"/>
    <x v="0"/>
    <x v="0"/>
  </r>
  <r>
    <n v="1106084"/>
    <x v="0"/>
    <x v="4"/>
    <n v="37"/>
    <x v="2"/>
    <d v="2016-03-06T09:20:00"/>
    <x v="90"/>
    <x v="1"/>
    <x v="115"/>
    <n v="9"/>
    <x v="4"/>
    <x v="1"/>
    <x v="1"/>
    <x v="0"/>
    <x v="1"/>
  </r>
  <r>
    <n v="1106084"/>
    <x v="0"/>
    <x v="4"/>
    <n v="37"/>
    <x v="2"/>
    <d v="2016-03-09T04:54:00"/>
    <x v="91"/>
    <x v="0"/>
    <x v="116"/>
    <n v="4"/>
    <x v="1"/>
    <x v="1"/>
    <x v="0"/>
    <x v="0"/>
    <x v="3"/>
  </r>
  <r>
    <n v="1106084"/>
    <x v="0"/>
    <x v="4"/>
    <n v="37"/>
    <x v="2"/>
    <d v="2016-03-09T18:00:00"/>
    <x v="92"/>
    <x v="4"/>
    <x v="117"/>
    <n v="18"/>
    <x v="1"/>
    <x v="1"/>
    <x v="0"/>
    <x v="0"/>
    <x v="0"/>
  </r>
  <r>
    <n v="868895"/>
    <x v="0"/>
    <x v="0"/>
    <n v="23"/>
    <x v="0"/>
    <d v="2016-03-14T23:35:00"/>
    <x v="93"/>
    <x v="0"/>
    <x v="118"/>
    <n v="23"/>
    <x v="0"/>
    <x v="1"/>
    <x v="0"/>
    <x v="3"/>
    <x v="4"/>
  </r>
  <r>
    <n v="868895"/>
    <x v="0"/>
    <x v="0"/>
    <n v="23"/>
    <x v="0"/>
    <d v="2016-03-12T12:18:00"/>
    <x v="94"/>
    <x v="1"/>
    <x v="119"/>
    <n v="12"/>
    <x v="6"/>
    <x v="1"/>
    <x v="1"/>
    <x v="3"/>
    <x v="2"/>
  </r>
  <r>
    <n v="868895"/>
    <x v="0"/>
    <x v="0"/>
    <n v="23"/>
    <x v="0"/>
    <d v="2016-03-12T12:19:00"/>
    <x v="95"/>
    <x v="0"/>
    <x v="120"/>
    <n v="12"/>
    <x v="6"/>
    <x v="1"/>
    <x v="1"/>
    <x v="3"/>
    <x v="2"/>
  </r>
  <r>
    <n v="868895"/>
    <x v="0"/>
    <x v="0"/>
    <n v="23"/>
    <x v="0"/>
    <d v="2016-03-16T00:02:00"/>
    <x v="0"/>
    <x v="1"/>
    <x v="121"/>
    <n v="0"/>
    <x v="1"/>
    <x v="1"/>
    <x v="0"/>
    <x v="3"/>
    <x v="3"/>
  </r>
  <r>
    <n v="868895"/>
    <x v="0"/>
    <x v="0"/>
    <n v="23"/>
    <x v="0"/>
    <d v="2016-03-16T00:14:00"/>
    <x v="96"/>
    <x v="4"/>
    <x v="122"/>
    <n v="0"/>
    <x v="1"/>
    <x v="1"/>
    <x v="0"/>
    <x v="3"/>
    <x v="3"/>
  </r>
  <r>
    <n v="808934"/>
    <x v="0"/>
    <x v="2"/>
    <n v="36"/>
    <x v="4"/>
    <d v="2016-03-24T12:17:00"/>
    <x v="97"/>
    <x v="6"/>
    <x v="123"/>
    <n v="12"/>
    <x v="5"/>
    <x v="1"/>
    <x v="0"/>
    <x v="0"/>
    <x v="2"/>
  </r>
  <r>
    <n v="808934"/>
    <x v="0"/>
    <x v="2"/>
    <n v="36"/>
    <x v="4"/>
    <d v="2016-03-11T16:58:00"/>
    <x v="43"/>
    <x v="3"/>
    <x v="124"/>
    <n v="16"/>
    <x v="2"/>
    <x v="1"/>
    <x v="0"/>
    <x v="0"/>
    <x v="2"/>
  </r>
  <r>
    <n v="808934"/>
    <x v="0"/>
    <x v="2"/>
    <n v="36"/>
    <x v="4"/>
    <d v="2016-02-06T06:56:00"/>
    <x v="11"/>
    <x v="6"/>
    <x v="125"/>
    <n v="6"/>
    <x v="6"/>
    <x v="2"/>
    <x v="1"/>
    <x v="0"/>
    <x v="1"/>
  </r>
  <r>
    <n v="808934"/>
    <x v="0"/>
    <x v="2"/>
    <n v="36"/>
    <x v="4"/>
    <d v="2016-02-06T10:38:00"/>
    <x v="98"/>
    <x v="0"/>
    <x v="126"/>
    <n v="10"/>
    <x v="6"/>
    <x v="2"/>
    <x v="1"/>
    <x v="0"/>
    <x v="1"/>
  </r>
  <r>
    <n v="808934"/>
    <x v="0"/>
    <x v="2"/>
    <n v="36"/>
    <x v="4"/>
    <d v="2016-02-06T19:55:00"/>
    <x v="99"/>
    <x v="6"/>
    <x v="127"/>
    <n v="19"/>
    <x v="6"/>
    <x v="2"/>
    <x v="1"/>
    <x v="0"/>
    <x v="0"/>
  </r>
  <r>
    <n v="808934"/>
    <x v="0"/>
    <x v="2"/>
    <n v="36"/>
    <x v="4"/>
    <d v="2016-03-06T12:38:00"/>
    <x v="100"/>
    <x v="0"/>
    <x v="128"/>
    <n v="12"/>
    <x v="4"/>
    <x v="1"/>
    <x v="1"/>
    <x v="0"/>
    <x v="2"/>
  </r>
  <r>
    <n v="808934"/>
    <x v="0"/>
    <x v="2"/>
    <n v="36"/>
    <x v="4"/>
    <d v="2016-02-12T17:16:00"/>
    <x v="101"/>
    <x v="7"/>
    <x v="129"/>
    <n v="17"/>
    <x v="2"/>
    <x v="2"/>
    <x v="0"/>
    <x v="0"/>
    <x v="0"/>
  </r>
  <r>
    <n v="808934"/>
    <x v="0"/>
    <x v="2"/>
    <n v="36"/>
    <x v="4"/>
    <d v="2016-03-06T13:58:00"/>
    <x v="102"/>
    <x v="6"/>
    <x v="130"/>
    <n v="13"/>
    <x v="4"/>
    <x v="1"/>
    <x v="1"/>
    <x v="0"/>
    <x v="2"/>
  </r>
  <r>
    <n v="808934"/>
    <x v="0"/>
    <x v="2"/>
    <n v="36"/>
    <x v="4"/>
    <d v="2016-03-06T14:00:00"/>
    <x v="103"/>
    <x v="6"/>
    <x v="131"/>
    <n v="14"/>
    <x v="4"/>
    <x v="1"/>
    <x v="1"/>
    <x v="0"/>
    <x v="2"/>
  </r>
  <r>
    <n v="808934"/>
    <x v="0"/>
    <x v="2"/>
    <n v="36"/>
    <x v="4"/>
    <d v="2016-03-27T16:07:00"/>
    <x v="104"/>
    <x v="6"/>
    <x v="132"/>
    <n v="16"/>
    <x v="4"/>
    <x v="1"/>
    <x v="1"/>
    <x v="0"/>
    <x v="2"/>
  </r>
  <r>
    <n v="939592"/>
    <x v="0"/>
    <x v="0"/>
    <n v="34"/>
    <x v="0"/>
    <d v="2016-03-27T14:51:00"/>
    <x v="105"/>
    <x v="6"/>
    <x v="133"/>
    <n v="14"/>
    <x v="4"/>
    <x v="1"/>
    <x v="1"/>
    <x v="0"/>
    <x v="2"/>
  </r>
  <r>
    <n v="771796"/>
    <x v="0"/>
    <x v="0"/>
    <n v="35"/>
    <x v="0"/>
    <d v="2016-02-05T15:17:00"/>
    <x v="106"/>
    <x v="7"/>
    <x v="134"/>
    <n v="15"/>
    <x v="2"/>
    <x v="2"/>
    <x v="0"/>
    <x v="0"/>
    <x v="2"/>
  </r>
  <r>
    <n v="771796"/>
    <x v="0"/>
    <x v="0"/>
    <n v="35"/>
    <x v="0"/>
    <d v="2016-03-24T10:46:00"/>
    <x v="107"/>
    <x v="6"/>
    <x v="135"/>
    <n v="10"/>
    <x v="5"/>
    <x v="1"/>
    <x v="0"/>
    <x v="0"/>
    <x v="1"/>
  </r>
  <r>
    <n v="771796"/>
    <x v="0"/>
    <x v="0"/>
    <n v="35"/>
    <x v="0"/>
    <d v="2016-02-06T16:10:00"/>
    <x v="108"/>
    <x v="4"/>
    <x v="136"/>
    <n v="16"/>
    <x v="6"/>
    <x v="2"/>
    <x v="1"/>
    <x v="0"/>
    <x v="2"/>
  </r>
  <r>
    <n v="771796"/>
    <x v="0"/>
    <x v="0"/>
    <n v="35"/>
    <x v="0"/>
    <d v="2016-02-06T16:18:00"/>
    <x v="109"/>
    <x v="6"/>
    <x v="137"/>
    <n v="16"/>
    <x v="6"/>
    <x v="2"/>
    <x v="1"/>
    <x v="0"/>
    <x v="2"/>
  </r>
  <r>
    <n v="771796"/>
    <x v="0"/>
    <x v="0"/>
    <n v="35"/>
    <x v="0"/>
    <d v="2016-03-27T16:58:00"/>
    <x v="110"/>
    <x v="6"/>
    <x v="138"/>
    <n v="16"/>
    <x v="4"/>
    <x v="1"/>
    <x v="1"/>
    <x v="0"/>
    <x v="2"/>
  </r>
  <r>
    <n v="771796"/>
    <x v="0"/>
    <x v="0"/>
    <n v="35"/>
    <x v="0"/>
    <d v="2016-03-26T17:00:00"/>
    <x v="111"/>
    <x v="6"/>
    <x v="139"/>
    <n v="17"/>
    <x v="6"/>
    <x v="1"/>
    <x v="1"/>
    <x v="0"/>
    <x v="0"/>
  </r>
  <r>
    <n v="889840"/>
    <x v="0"/>
    <x v="4"/>
    <n v="31"/>
    <x v="5"/>
    <d v="2016-03-20T20:18:00"/>
    <x v="11"/>
    <x v="6"/>
    <x v="140"/>
    <n v="20"/>
    <x v="4"/>
    <x v="1"/>
    <x v="1"/>
    <x v="0"/>
    <x v="0"/>
  </r>
  <r>
    <n v="2368371"/>
    <x v="0"/>
    <x v="0"/>
    <n v="44"/>
    <x v="0"/>
    <d v="2016-03-26T10:25:00"/>
    <x v="112"/>
    <x v="6"/>
    <x v="141"/>
    <n v="10"/>
    <x v="6"/>
    <x v="1"/>
    <x v="1"/>
    <x v="4"/>
    <x v="1"/>
  </r>
  <r>
    <n v="617535"/>
    <x v="0"/>
    <x v="2"/>
    <n v="40"/>
    <x v="2"/>
    <d v="2016-01-11T20:08:00"/>
    <x v="21"/>
    <x v="11"/>
    <x v="142"/>
    <n v="20"/>
    <x v="0"/>
    <x v="0"/>
    <x v="0"/>
    <x v="4"/>
    <x v="0"/>
  </r>
  <r>
    <n v="617961"/>
    <x v="0"/>
    <x v="2"/>
    <n v="30"/>
    <x v="5"/>
    <d v="2016-01-31T22:06:00"/>
    <x v="113"/>
    <x v="3"/>
    <x v="143"/>
    <n v="22"/>
    <x v="4"/>
    <x v="0"/>
    <x v="1"/>
    <x v="0"/>
    <x v="4"/>
  </r>
  <r>
    <n v="771797"/>
    <x v="0"/>
    <x v="1"/>
    <n v="35"/>
    <x v="2"/>
    <d v="2016-02-03T13:31:00"/>
    <x v="114"/>
    <x v="7"/>
    <x v="144"/>
    <n v="13"/>
    <x v="1"/>
    <x v="2"/>
    <x v="0"/>
    <x v="0"/>
    <x v="2"/>
  </r>
  <r>
    <n v="67584"/>
    <x v="0"/>
    <x v="3"/>
    <n v="58"/>
    <x v="0"/>
    <d v="2016-01-18T15:04:00"/>
    <x v="115"/>
    <x v="6"/>
    <x v="145"/>
    <n v="15"/>
    <x v="0"/>
    <x v="0"/>
    <x v="0"/>
    <x v="2"/>
    <x v="2"/>
  </r>
  <r>
    <n v="808936"/>
    <x v="0"/>
    <x v="3"/>
    <n v="23"/>
    <x v="2"/>
    <d v="2016-03-24T12:31:00"/>
    <x v="116"/>
    <x v="6"/>
    <x v="146"/>
    <n v="12"/>
    <x v="5"/>
    <x v="1"/>
    <x v="0"/>
    <x v="3"/>
    <x v="2"/>
  </r>
  <r>
    <n v="808936"/>
    <x v="0"/>
    <x v="3"/>
    <n v="23"/>
    <x v="2"/>
    <d v="2016-02-18T10:25:00"/>
    <x v="11"/>
    <x v="6"/>
    <x v="147"/>
    <n v="10"/>
    <x v="5"/>
    <x v="2"/>
    <x v="0"/>
    <x v="3"/>
    <x v="1"/>
  </r>
  <r>
    <n v="590480"/>
    <x v="2"/>
    <x v="2"/>
    <n v="10"/>
    <x v="0"/>
    <d v="2016-01-04T16:11:00"/>
    <x v="117"/>
    <x v="11"/>
    <x v="148"/>
    <n v="16"/>
    <x v="0"/>
    <x v="0"/>
    <x v="0"/>
    <x v="1"/>
    <x v="2"/>
  </r>
  <r>
    <n v="831713"/>
    <x v="2"/>
    <x v="4"/>
    <n v="26"/>
    <x v="8"/>
    <d v="2016-03-14T07:08:00"/>
    <x v="118"/>
    <x v="0"/>
    <x v="149"/>
    <n v="7"/>
    <x v="0"/>
    <x v="1"/>
    <x v="0"/>
    <x v="3"/>
    <x v="1"/>
  </r>
  <r>
    <n v="831713"/>
    <x v="2"/>
    <x v="4"/>
    <n v="26"/>
    <x v="8"/>
    <d v="2016-03-07T14:45:00"/>
    <x v="119"/>
    <x v="0"/>
    <x v="150"/>
    <n v="14"/>
    <x v="0"/>
    <x v="1"/>
    <x v="0"/>
    <x v="3"/>
    <x v="2"/>
  </r>
  <r>
    <n v="817216"/>
    <x v="0"/>
    <x v="3"/>
    <n v="31"/>
    <x v="4"/>
    <d v="2016-02-24T15:57:00"/>
    <x v="120"/>
    <x v="1"/>
    <x v="151"/>
    <n v="15"/>
    <x v="1"/>
    <x v="2"/>
    <x v="0"/>
    <x v="0"/>
    <x v="2"/>
  </r>
  <r>
    <n v="817216"/>
    <x v="0"/>
    <x v="3"/>
    <n v="31"/>
    <x v="4"/>
    <d v="2016-02-25T21:13:00"/>
    <x v="11"/>
    <x v="14"/>
    <x v="152"/>
    <n v="21"/>
    <x v="5"/>
    <x v="2"/>
    <x v="0"/>
    <x v="0"/>
    <x v="0"/>
  </r>
  <r>
    <n v="2406478"/>
    <x v="0"/>
    <x v="6"/>
    <n v="39"/>
    <x v="3"/>
    <d v="2016-03-26T13:50:00"/>
    <x v="121"/>
    <x v="6"/>
    <x v="153"/>
    <n v="13"/>
    <x v="6"/>
    <x v="1"/>
    <x v="1"/>
    <x v="4"/>
    <x v="2"/>
  </r>
  <r>
    <n v="793592"/>
    <x v="1"/>
    <x v="1"/>
    <n v="0"/>
    <x v="1"/>
    <d v="2016-03-21T12:34:00"/>
    <x v="122"/>
    <x v="4"/>
    <x v="154"/>
    <n v="12"/>
    <x v="0"/>
    <x v="1"/>
    <x v="0"/>
    <x v="1"/>
    <x v="2"/>
  </r>
  <r>
    <n v="904063"/>
    <x v="0"/>
    <x v="4"/>
    <n v="34"/>
    <x v="2"/>
    <d v="2016-03-26T22:02:00"/>
    <x v="83"/>
    <x v="5"/>
    <x v="155"/>
    <n v="22"/>
    <x v="6"/>
    <x v="1"/>
    <x v="1"/>
    <x v="0"/>
    <x v="4"/>
  </r>
  <r>
    <n v="904063"/>
    <x v="0"/>
    <x v="4"/>
    <n v="34"/>
    <x v="2"/>
    <d v="2016-03-26T20:09:00"/>
    <x v="22"/>
    <x v="5"/>
    <x v="156"/>
    <n v="20"/>
    <x v="6"/>
    <x v="1"/>
    <x v="1"/>
    <x v="0"/>
    <x v="0"/>
  </r>
  <r>
    <n v="586459"/>
    <x v="0"/>
    <x v="4"/>
    <n v="22"/>
    <x v="7"/>
    <d v="2016-01-02T09:49:00"/>
    <x v="123"/>
    <x v="5"/>
    <x v="157"/>
    <n v="9"/>
    <x v="6"/>
    <x v="0"/>
    <x v="1"/>
    <x v="3"/>
    <x v="1"/>
  </r>
  <r>
    <n v="791320"/>
    <x v="2"/>
    <x v="2"/>
    <n v="37"/>
    <x v="4"/>
    <d v="2016-03-05T12:57:00"/>
    <x v="74"/>
    <x v="1"/>
    <x v="158"/>
    <n v="12"/>
    <x v="6"/>
    <x v="1"/>
    <x v="1"/>
    <x v="0"/>
    <x v="2"/>
  </r>
  <r>
    <n v="791320"/>
    <x v="2"/>
    <x v="2"/>
    <n v="37"/>
    <x v="4"/>
    <d v="2016-03-06T09:33:00"/>
    <x v="124"/>
    <x v="1"/>
    <x v="159"/>
    <n v="9"/>
    <x v="4"/>
    <x v="1"/>
    <x v="1"/>
    <x v="0"/>
    <x v="1"/>
  </r>
  <r>
    <n v="791320"/>
    <x v="2"/>
    <x v="2"/>
    <n v="37"/>
    <x v="4"/>
    <d v="2016-03-06T08:32:00"/>
    <x v="125"/>
    <x v="1"/>
    <x v="160"/>
    <n v="8"/>
    <x v="4"/>
    <x v="1"/>
    <x v="1"/>
    <x v="0"/>
    <x v="1"/>
  </r>
  <r>
    <n v="771802"/>
    <x v="0"/>
    <x v="0"/>
    <n v="43"/>
    <x v="0"/>
    <d v="2016-01-02T12:42:00"/>
    <x v="126"/>
    <x v="3"/>
    <x v="161"/>
    <n v="12"/>
    <x v="6"/>
    <x v="0"/>
    <x v="1"/>
    <x v="4"/>
    <x v="2"/>
  </r>
  <r>
    <n v="771802"/>
    <x v="0"/>
    <x v="0"/>
    <n v="43"/>
    <x v="0"/>
    <d v="2016-01-30T14:11:00"/>
    <x v="127"/>
    <x v="6"/>
    <x v="162"/>
    <n v="14"/>
    <x v="6"/>
    <x v="0"/>
    <x v="1"/>
    <x v="4"/>
    <x v="2"/>
  </r>
  <r>
    <n v="771802"/>
    <x v="0"/>
    <x v="0"/>
    <n v="43"/>
    <x v="0"/>
    <d v="2016-01-01T11:25:00"/>
    <x v="128"/>
    <x v="12"/>
    <x v="163"/>
    <n v="11"/>
    <x v="2"/>
    <x v="0"/>
    <x v="0"/>
    <x v="4"/>
    <x v="2"/>
  </r>
  <r>
    <n v="771802"/>
    <x v="0"/>
    <x v="0"/>
    <n v="43"/>
    <x v="0"/>
    <d v="2016-01-08T14:50:00"/>
    <x v="129"/>
    <x v="6"/>
    <x v="164"/>
    <n v="14"/>
    <x v="2"/>
    <x v="0"/>
    <x v="0"/>
    <x v="4"/>
    <x v="2"/>
  </r>
  <r>
    <n v="771802"/>
    <x v="0"/>
    <x v="0"/>
    <n v="43"/>
    <x v="0"/>
    <d v="2016-01-01T02:37:00"/>
    <x v="36"/>
    <x v="12"/>
    <x v="165"/>
    <n v="2"/>
    <x v="2"/>
    <x v="0"/>
    <x v="0"/>
    <x v="4"/>
    <x v="3"/>
  </r>
  <r>
    <n v="771802"/>
    <x v="0"/>
    <x v="0"/>
    <n v="43"/>
    <x v="0"/>
    <d v="2016-02-12T16:51:00"/>
    <x v="130"/>
    <x v="6"/>
    <x v="166"/>
    <n v="16"/>
    <x v="2"/>
    <x v="2"/>
    <x v="0"/>
    <x v="4"/>
    <x v="2"/>
  </r>
  <r>
    <n v="808941"/>
    <x v="0"/>
    <x v="0"/>
    <n v="36"/>
    <x v="0"/>
    <d v="2016-03-01T00:30:00"/>
    <x v="114"/>
    <x v="7"/>
    <x v="167"/>
    <n v="0"/>
    <x v="3"/>
    <x v="1"/>
    <x v="0"/>
    <x v="0"/>
    <x v="3"/>
  </r>
  <r>
    <n v="600713"/>
    <x v="0"/>
    <x v="4"/>
    <n v="31"/>
    <x v="4"/>
    <d v="2016-01-01T14:32:00"/>
    <x v="131"/>
    <x v="4"/>
    <x v="168"/>
    <n v="14"/>
    <x v="2"/>
    <x v="0"/>
    <x v="0"/>
    <x v="0"/>
    <x v="2"/>
  </r>
  <r>
    <n v="600713"/>
    <x v="0"/>
    <x v="4"/>
    <n v="31"/>
    <x v="4"/>
    <d v="2016-01-13T14:27:00"/>
    <x v="132"/>
    <x v="4"/>
    <x v="169"/>
    <n v="14"/>
    <x v="1"/>
    <x v="0"/>
    <x v="0"/>
    <x v="0"/>
    <x v="2"/>
  </r>
  <r>
    <n v="2407123"/>
    <x v="0"/>
    <x v="4"/>
    <n v="24"/>
    <x v="5"/>
    <d v="2016-03-14T07:40:00"/>
    <x v="133"/>
    <x v="3"/>
    <x v="170"/>
    <n v="7"/>
    <x v="0"/>
    <x v="1"/>
    <x v="0"/>
    <x v="3"/>
    <x v="1"/>
  </r>
  <r>
    <n v="2407123"/>
    <x v="0"/>
    <x v="4"/>
    <n v="24"/>
    <x v="5"/>
    <d v="2016-03-08T21:04:00"/>
    <x v="134"/>
    <x v="5"/>
    <x v="171"/>
    <n v="21"/>
    <x v="3"/>
    <x v="1"/>
    <x v="0"/>
    <x v="3"/>
    <x v="0"/>
  </r>
  <r>
    <n v="2407123"/>
    <x v="0"/>
    <x v="4"/>
    <n v="24"/>
    <x v="5"/>
    <d v="2016-03-06T09:48:00"/>
    <x v="9"/>
    <x v="1"/>
    <x v="172"/>
    <n v="9"/>
    <x v="4"/>
    <x v="1"/>
    <x v="1"/>
    <x v="3"/>
    <x v="1"/>
  </r>
  <r>
    <n v="939600"/>
    <x v="0"/>
    <x v="4"/>
    <n v="31"/>
    <x v="2"/>
    <d v="2016-03-19T02:07:00"/>
    <x v="74"/>
    <x v="11"/>
    <x v="173"/>
    <n v="2"/>
    <x v="6"/>
    <x v="1"/>
    <x v="1"/>
    <x v="0"/>
    <x v="3"/>
  </r>
  <r>
    <n v="939600"/>
    <x v="0"/>
    <x v="4"/>
    <n v="31"/>
    <x v="2"/>
    <d v="2016-03-20T14:34:00"/>
    <x v="2"/>
    <x v="1"/>
    <x v="174"/>
    <n v="14"/>
    <x v="4"/>
    <x v="1"/>
    <x v="1"/>
    <x v="0"/>
    <x v="2"/>
  </r>
  <r>
    <n v="939600"/>
    <x v="0"/>
    <x v="4"/>
    <n v="31"/>
    <x v="2"/>
    <d v="2016-03-20T15:36:00"/>
    <x v="15"/>
    <x v="6"/>
    <x v="175"/>
    <n v="15"/>
    <x v="4"/>
    <x v="1"/>
    <x v="1"/>
    <x v="0"/>
    <x v="2"/>
  </r>
  <r>
    <n v="939602"/>
    <x v="0"/>
    <x v="0"/>
    <n v="18"/>
    <x v="3"/>
    <d v="2016-03-22T16:45:00"/>
    <x v="135"/>
    <x v="4"/>
    <x v="176"/>
    <n v="16"/>
    <x v="3"/>
    <x v="1"/>
    <x v="0"/>
    <x v="3"/>
    <x v="2"/>
  </r>
  <r>
    <n v="939602"/>
    <x v="0"/>
    <x v="0"/>
    <n v="18"/>
    <x v="3"/>
    <d v="2016-03-18T20:38:00"/>
    <x v="11"/>
    <x v="5"/>
    <x v="177"/>
    <n v="20"/>
    <x v="2"/>
    <x v="1"/>
    <x v="0"/>
    <x v="3"/>
    <x v="0"/>
  </r>
  <r>
    <n v="939602"/>
    <x v="0"/>
    <x v="0"/>
    <n v="18"/>
    <x v="3"/>
    <d v="2016-03-18T08:19:00"/>
    <x v="136"/>
    <x v="6"/>
    <x v="178"/>
    <n v="8"/>
    <x v="2"/>
    <x v="1"/>
    <x v="0"/>
    <x v="3"/>
    <x v="1"/>
  </r>
  <r>
    <n v="939602"/>
    <x v="0"/>
    <x v="0"/>
    <n v="18"/>
    <x v="3"/>
    <d v="2016-03-18T20:05:00"/>
    <x v="21"/>
    <x v="5"/>
    <x v="179"/>
    <n v="20"/>
    <x v="2"/>
    <x v="1"/>
    <x v="0"/>
    <x v="3"/>
    <x v="0"/>
  </r>
  <r>
    <n v="939602"/>
    <x v="0"/>
    <x v="0"/>
    <n v="18"/>
    <x v="3"/>
    <d v="2016-03-20T12:27:00"/>
    <x v="137"/>
    <x v="5"/>
    <x v="180"/>
    <n v="12"/>
    <x v="4"/>
    <x v="1"/>
    <x v="1"/>
    <x v="3"/>
    <x v="2"/>
  </r>
  <r>
    <n v="939602"/>
    <x v="0"/>
    <x v="0"/>
    <n v="18"/>
    <x v="3"/>
    <d v="2016-03-28T13:33:00"/>
    <x v="138"/>
    <x v="1"/>
    <x v="181"/>
    <n v="13"/>
    <x v="0"/>
    <x v="1"/>
    <x v="0"/>
    <x v="3"/>
    <x v="2"/>
  </r>
  <r>
    <n v="939602"/>
    <x v="0"/>
    <x v="0"/>
    <n v="18"/>
    <x v="3"/>
    <d v="2016-03-28T13:46:00"/>
    <x v="139"/>
    <x v="4"/>
    <x v="182"/>
    <n v="13"/>
    <x v="0"/>
    <x v="1"/>
    <x v="0"/>
    <x v="3"/>
    <x v="2"/>
  </r>
  <r>
    <n v="939602"/>
    <x v="0"/>
    <x v="0"/>
    <n v="18"/>
    <x v="3"/>
    <d v="2016-03-25T04:46:00"/>
    <x v="140"/>
    <x v="4"/>
    <x v="183"/>
    <n v="4"/>
    <x v="2"/>
    <x v="1"/>
    <x v="0"/>
    <x v="3"/>
    <x v="3"/>
  </r>
  <r>
    <n v="939602"/>
    <x v="0"/>
    <x v="0"/>
    <n v="18"/>
    <x v="3"/>
    <d v="2016-03-25T04:26:00"/>
    <x v="141"/>
    <x v="11"/>
    <x v="184"/>
    <n v="4"/>
    <x v="2"/>
    <x v="1"/>
    <x v="0"/>
    <x v="3"/>
    <x v="3"/>
  </r>
  <r>
    <n v="939602"/>
    <x v="0"/>
    <x v="0"/>
    <n v="18"/>
    <x v="3"/>
    <d v="2016-03-29T09:28:00"/>
    <x v="63"/>
    <x v="4"/>
    <x v="185"/>
    <n v="9"/>
    <x v="3"/>
    <x v="1"/>
    <x v="0"/>
    <x v="3"/>
    <x v="1"/>
  </r>
  <r>
    <n v="939602"/>
    <x v="0"/>
    <x v="0"/>
    <n v="18"/>
    <x v="3"/>
    <d v="2016-03-21T16:36:00"/>
    <x v="142"/>
    <x v="11"/>
    <x v="186"/>
    <n v="16"/>
    <x v="0"/>
    <x v="1"/>
    <x v="0"/>
    <x v="3"/>
    <x v="2"/>
  </r>
  <r>
    <n v="866315"/>
    <x v="0"/>
    <x v="4"/>
    <n v="35"/>
    <x v="2"/>
    <d v="2016-03-17T22:32:00"/>
    <x v="79"/>
    <x v="3"/>
    <x v="187"/>
    <n v="22"/>
    <x v="5"/>
    <x v="1"/>
    <x v="0"/>
    <x v="0"/>
    <x v="4"/>
  </r>
  <r>
    <n v="939603"/>
    <x v="0"/>
    <x v="2"/>
    <n v="30"/>
    <x v="6"/>
    <d v="2016-03-30T08:47:00"/>
    <x v="143"/>
    <x v="1"/>
    <x v="188"/>
    <n v="8"/>
    <x v="1"/>
    <x v="1"/>
    <x v="0"/>
    <x v="0"/>
    <x v="1"/>
  </r>
  <r>
    <n v="808945"/>
    <x v="0"/>
    <x v="1"/>
    <n v="43"/>
    <x v="0"/>
    <d v="2016-03-01T19:19:00"/>
    <x v="144"/>
    <x v="9"/>
    <x v="189"/>
    <n v="19"/>
    <x v="3"/>
    <x v="1"/>
    <x v="0"/>
    <x v="4"/>
    <x v="0"/>
  </r>
  <r>
    <n v="301011"/>
    <x v="0"/>
    <x v="4"/>
    <n v="47"/>
    <x v="8"/>
    <d v="2016-01-08T17:03:00"/>
    <x v="145"/>
    <x v="7"/>
    <x v="190"/>
    <n v="17"/>
    <x v="2"/>
    <x v="0"/>
    <x v="0"/>
    <x v="4"/>
    <x v="0"/>
  </r>
  <r>
    <n v="831720"/>
    <x v="0"/>
    <x v="0"/>
    <n v="29"/>
    <x v="0"/>
    <d v="2016-03-01T15:04:00"/>
    <x v="146"/>
    <x v="1"/>
    <x v="191"/>
    <n v="15"/>
    <x v="3"/>
    <x v="1"/>
    <x v="0"/>
    <x v="0"/>
    <x v="2"/>
  </r>
  <r>
    <n v="831720"/>
    <x v="0"/>
    <x v="0"/>
    <n v="29"/>
    <x v="0"/>
    <d v="2016-03-01T14:59:00"/>
    <x v="147"/>
    <x v="1"/>
    <x v="192"/>
    <n v="14"/>
    <x v="3"/>
    <x v="1"/>
    <x v="0"/>
    <x v="0"/>
    <x v="2"/>
  </r>
  <r>
    <n v="831721"/>
    <x v="0"/>
    <x v="4"/>
    <n v="22"/>
    <x v="6"/>
    <d v="2016-03-02T19:29:00"/>
    <x v="92"/>
    <x v="4"/>
    <x v="193"/>
    <n v="19"/>
    <x v="1"/>
    <x v="1"/>
    <x v="0"/>
    <x v="3"/>
    <x v="0"/>
  </r>
  <r>
    <n v="831721"/>
    <x v="0"/>
    <x v="4"/>
    <n v="22"/>
    <x v="6"/>
    <d v="2016-03-02T19:33:00"/>
    <x v="148"/>
    <x v="2"/>
    <x v="194"/>
    <n v="19"/>
    <x v="1"/>
    <x v="1"/>
    <x v="0"/>
    <x v="3"/>
    <x v="0"/>
  </r>
  <r>
    <n v="895195"/>
    <x v="0"/>
    <x v="3"/>
    <n v="21"/>
    <x v="6"/>
    <d v="2016-03-23T19:06:00"/>
    <x v="149"/>
    <x v="0"/>
    <x v="195"/>
    <n v="19"/>
    <x v="1"/>
    <x v="1"/>
    <x v="0"/>
    <x v="3"/>
    <x v="0"/>
  </r>
  <r>
    <n v="1289864"/>
    <x v="0"/>
    <x v="2"/>
    <n v="26"/>
    <x v="4"/>
    <d v="2016-01-26T07:40:00"/>
    <x v="11"/>
    <x v="0"/>
    <x v="196"/>
    <n v="7"/>
    <x v="3"/>
    <x v="0"/>
    <x v="0"/>
    <x v="3"/>
    <x v="1"/>
  </r>
  <r>
    <n v="808948"/>
    <x v="2"/>
    <x v="0"/>
    <n v="43"/>
    <x v="0"/>
    <d v="2016-02-11T05:04:00"/>
    <x v="0"/>
    <x v="7"/>
    <x v="197"/>
    <n v="5"/>
    <x v="5"/>
    <x v="2"/>
    <x v="0"/>
    <x v="4"/>
    <x v="1"/>
  </r>
  <r>
    <n v="808948"/>
    <x v="2"/>
    <x v="0"/>
    <n v="43"/>
    <x v="0"/>
    <d v="2016-02-18T03:26:00"/>
    <x v="136"/>
    <x v="4"/>
    <x v="198"/>
    <n v="3"/>
    <x v="5"/>
    <x v="2"/>
    <x v="0"/>
    <x v="4"/>
    <x v="3"/>
  </r>
  <r>
    <n v="808948"/>
    <x v="2"/>
    <x v="0"/>
    <n v="43"/>
    <x v="0"/>
    <d v="2016-02-18T13:46:00"/>
    <x v="45"/>
    <x v="4"/>
    <x v="199"/>
    <n v="13"/>
    <x v="5"/>
    <x v="2"/>
    <x v="0"/>
    <x v="4"/>
    <x v="2"/>
  </r>
  <r>
    <n v="808948"/>
    <x v="2"/>
    <x v="0"/>
    <n v="43"/>
    <x v="0"/>
    <d v="2016-02-24T09:36:00"/>
    <x v="150"/>
    <x v="4"/>
    <x v="200"/>
    <n v="9"/>
    <x v="1"/>
    <x v="2"/>
    <x v="0"/>
    <x v="4"/>
    <x v="1"/>
  </r>
  <r>
    <n v="808948"/>
    <x v="2"/>
    <x v="0"/>
    <n v="43"/>
    <x v="0"/>
    <d v="2016-03-18T11:42:00"/>
    <x v="20"/>
    <x v="0"/>
    <x v="201"/>
    <n v="11"/>
    <x v="2"/>
    <x v="1"/>
    <x v="0"/>
    <x v="4"/>
    <x v="2"/>
  </r>
  <r>
    <n v="808948"/>
    <x v="2"/>
    <x v="0"/>
    <n v="43"/>
    <x v="0"/>
    <d v="2016-03-18T11:55:00"/>
    <x v="151"/>
    <x v="4"/>
    <x v="202"/>
    <n v="11"/>
    <x v="2"/>
    <x v="1"/>
    <x v="0"/>
    <x v="4"/>
    <x v="2"/>
  </r>
  <r>
    <n v="808948"/>
    <x v="2"/>
    <x v="0"/>
    <n v="43"/>
    <x v="0"/>
    <d v="2016-02-10T19:46:00"/>
    <x v="132"/>
    <x v="4"/>
    <x v="203"/>
    <n v="19"/>
    <x v="1"/>
    <x v="2"/>
    <x v="0"/>
    <x v="4"/>
    <x v="0"/>
  </r>
  <r>
    <n v="808948"/>
    <x v="2"/>
    <x v="0"/>
    <n v="43"/>
    <x v="0"/>
    <d v="2016-03-20T15:49:00"/>
    <x v="109"/>
    <x v="4"/>
    <x v="204"/>
    <n v="15"/>
    <x v="4"/>
    <x v="1"/>
    <x v="1"/>
    <x v="4"/>
    <x v="2"/>
  </r>
  <r>
    <n v="808948"/>
    <x v="2"/>
    <x v="0"/>
    <n v="43"/>
    <x v="0"/>
    <d v="2016-02-23T11:18:00"/>
    <x v="152"/>
    <x v="1"/>
    <x v="205"/>
    <n v="11"/>
    <x v="3"/>
    <x v="2"/>
    <x v="0"/>
    <x v="4"/>
    <x v="2"/>
  </r>
  <r>
    <n v="808948"/>
    <x v="2"/>
    <x v="0"/>
    <n v="43"/>
    <x v="0"/>
    <d v="2016-02-13T01:05:00"/>
    <x v="17"/>
    <x v="4"/>
    <x v="206"/>
    <n v="1"/>
    <x v="6"/>
    <x v="2"/>
    <x v="1"/>
    <x v="4"/>
    <x v="3"/>
  </r>
  <r>
    <n v="779395"/>
    <x v="0"/>
    <x v="0"/>
    <n v="23"/>
    <x v="0"/>
    <d v="2016-02-14T12:01:00"/>
    <x v="153"/>
    <x v="5"/>
    <x v="207"/>
    <n v="12"/>
    <x v="4"/>
    <x v="2"/>
    <x v="1"/>
    <x v="3"/>
    <x v="2"/>
  </r>
  <r>
    <n v="779395"/>
    <x v="0"/>
    <x v="0"/>
    <n v="23"/>
    <x v="0"/>
    <d v="2016-02-10T14:07:00"/>
    <x v="154"/>
    <x v="0"/>
    <x v="208"/>
    <n v="14"/>
    <x v="1"/>
    <x v="2"/>
    <x v="0"/>
    <x v="3"/>
    <x v="2"/>
  </r>
  <r>
    <n v="904090"/>
    <x v="0"/>
    <x v="1"/>
    <n v="25"/>
    <x v="4"/>
    <d v="2016-03-23T17:33:00"/>
    <x v="19"/>
    <x v="3"/>
    <x v="209"/>
    <n v="17"/>
    <x v="1"/>
    <x v="1"/>
    <x v="0"/>
    <x v="3"/>
    <x v="0"/>
  </r>
  <r>
    <n v="1106115"/>
    <x v="2"/>
    <x v="4"/>
    <n v="26"/>
    <x v="0"/>
    <d v="2016-01-11T16:06:00"/>
    <x v="155"/>
    <x v="11"/>
    <x v="210"/>
    <n v="16"/>
    <x v="0"/>
    <x v="0"/>
    <x v="0"/>
    <x v="3"/>
    <x v="2"/>
  </r>
  <r>
    <n v="1106115"/>
    <x v="2"/>
    <x v="4"/>
    <n v="26"/>
    <x v="0"/>
    <d v="2016-01-11T15:33:00"/>
    <x v="156"/>
    <x v="0"/>
    <x v="211"/>
    <n v="15"/>
    <x v="0"/>
    <x v="0"/>
    <x v="0"/>
    <x v="3"/>
    <x v="2"/>
  </r>
  <r>
    <n v="820361"/>
    <x v="0"/>
    <x v="3"/>
    <n v="28"/>
    <x v="5"/>
    <d v="2016-03-05T17:29:00"/>
    <x v="157"/>
    <x v="6"/>
    <x v="212"/>
    <n v="17"/>
    <x v="6"/>
    <x v="1"/>
    <x v="1"/>
    <x v="3"/>
    <x v="0"/>
  </r>
  <r>
    <n v="820361"/>
    <x v="0"/>
    <x v="3"/>
    <n v="28"/>
    <x v="5"/>
    <d v="2016-03-20T17:58:00"/>
    <x v="158"/>
    <x v="6"/>
    <x v="213"/>
    <n v="17"/>
    <x v="4"/>
    <x v="1"/>
    <x v="1"/>
    <x v="3"/>
    <x v="0"/>
  </r>
  <r>
    <n v="820361"/>
    <x v="0"/>
    <x v="3"/>
    <n v="28"/>
    <x v="5"/>
    <d v="2016-02-27T12:54:00"/>
    <x v="159"/>
    <x v="7"/>
    <x v="214"/>
    <n v="12"/>
    <x v="6"/>
    <x v="2"/>
    <x v="1"/>
    <x v="3"/>
    <x v="2"/>
  </r>
  <r>
    <n v="820361"/>
    <x v="0"/>
    <x v="3"/>
    <n v="28"/>
    <x v="5"/>
    <d v="2016-02-27T13:14:00"/>
    <x v="50"/>
    <x v="6"/>
    <x v="215"/>
    <n v="13"/>
    <x v="6"/>
    <x v="2"/>
    <x v="1"/>
    <x v="3"/>
    <x v="2"/>
  </r>
  <r>
    <n v="820361"/>
    <x v="0"/>
    <x v="3"/>
    <n v="28"/>
    <x v="5"/>
    <d v="2016-02-27T16:06:00"/>
    <x v="51"/>
    <x v="6"/>
    <x v="216"/>
    <n v="16"/>
    <x v="6"/>
    <x v="2"/>
    <x v="1"/>
    <x v="3"/>
    <x v="2"/>
  </r>
  <r>
    <n v="820361"/>
    <x v="0"/>
    <x v="3"/>
    <n v="28"/>
    <x v="5"/>
    <d v="2016-03-03T06:11:00"/>
    <x v="9"/>
    <x v="5"/>
    <x v="217"/>
    <n v="6"/>
    <x v="5"/>
    <x v="1"/>
    <x v="0"/>
    <x v="3"/>
    <x v="1"/>
  </r>
  <r>
    <n v="771816"/>
    <x v="0"/>
    <x v="4"/>
    <n v="31"/>
    <x v="2"/>
    <d v="2016-01-01T06:59:00"/>
    <x v="160"/>
    <x v="2"/>
    <x v="218"/>
    <n v="6"/>
    <x v="2"/>
    <x v="0"/>
    <x v="0"/>
    <x v="0"/>
    <x v="1"/>
  </r>
  <r>
    <n v="771816"/>
    <x v="0"/>
    <x v="4"/>
    <n v="31"/>
    <x v="2"/>
    <d v="2016-01-01T07:02:00"/>
    <x v="161"/>
    <x v="4"/>
    <x v="219"/>
    <n v="7"/>
    <x v="2"/>
    <x v="0"/>
    <x v="0"/>
    <x v="0"/>
    <x v="1"/>
  </r>
  <r>
    <n v="771816"/>
    <x v="0"/>
    <x v="4"/>
    <n v="31"/>
    <x v="2"/>
    <d v="2016-01-01T17:29:00"/>
    <x v="162"/>
    <x v="0"/>
    <x v="220"/>
    <n v="17"/>
    <x v="2"/>
    <x v="0"/>
    <x v="0"/>
    <x v="0"/>
    <x v="0"/>
  </r>
  <r>
    <n v="771816"/>
    <x v="0"/>
    <x v="4"/>
    <n v="31"/>
    <x v="2"/>
    <d v="2016-03-23T11:09:00"/>
    <x v="81"/>
    <x v="5"/>
    <x v="221"/>
    <n v="11"/>
    <x v="1"/>
    <x v="1"/>
    <x v="0"/>
    <x v="0"/>
    <x v="2"/>
  </r>
  <r>
    <n v="771816"/>
    <x v="0"/>
    <x v="4"/>
    <n v="31"/>
    <x v="2"/>
    <d v="2016-02-06T19:26:00"/>
    <x v="163"/>
    <x v="0"/>
    <x v="222"/>
    <n v="19"/>
    <x v="6"/>
    <x v="2"/>
    <x v="1"/>
    <x v="0"/>
    <x v="0"/>
  </r>
  <r>
    <n v="771816"/>
    <x v="0"/>
    <x v="4"/>
    <n v="31"/>
    <x v="2"/>
    <d v="2016-02-27T09:32:00"/>
    <x v="11"/>
    <x v="0"/>
    <x v="223"/>
    <n v="9"/>
    <x v="6"/>
    <x v="2"/>
    <x v="1"/>
    <x v="0"/>
    <x v="1"/>
  </r>
  <r>
    <n v="771816"/>
    <x v="0"/>
    <x v="4"/>
    <n v="31"/>
    <x v="2"/>
    <d v="2016-03-07T03:54:00"/>
    <x v="162"/>
    <x v="0"/>
    <x v="224"/>
    <n v="3"/>
    <x v="0"/>
    <x v="1"/>
    <x v="0"/>
    <x v="0"/>
    <x v="3"/>
  </r>
  <r>
    <n v="771816"/>
    <x v="0"/>
    <x v="4"/>
    <n v="31"/>
    <x v="2"/>
    <d v="2016-03-01T06:27:00"/>
    <x v="164"/>
    <x v="5"/>
    <x v="225"/>
    <n v="6"/>
    <x v="3"/>
    <x v="1"/>
    <x v="0"/>
    <x v="0"/>
    <x v="1"/>
  </r>
  <r>
    <n v="788649"/>
    <x v="0"/>
    <x v="3"/>
    <n v="39"/>
    <x v="2"/>
    <d v="2016-01-15T16:12:00"/>
    <x v="165"/>
    <x v="7"/>
    <x v="226"/>
    <n v="16"/>
    <x v="2"/>
    <x v="0"/>
    <x v="0"/>
    <x v="4"/>
    <x v="2"/>
  </r>
  <r>
    <n v="939606"/>
    <x v="0"/>
    <x v="0"/>
    <n v="38"/>
    <x v="0"/>
    <d v="2016-03-30T05:53:00"/>
    <x v="133"/>
    <x v="5"/>
    <x v="227"/>
    <n v="5"/>
    <x v="1"/>
    <x v="1"/>
    <x v="0"/>
    <x v="0"/>
    <x v="1"/>
  </r>
  <r>
    <n v="831728"/>
    <x v="2"/>
    <x v="4"/>
    <n v="35"/>
    <x v="3"/>
    <d v="2016-03-12T20:45:00"/>
    <x v="20"/>
    <x v="7"/>
    <x v="228"/>
    <n v="20"/>
    <x v="6"/>
    <x v="1"/>
    <x v="1"/>
    <x v="0"/>
    <x v="0"/>
  </r>
  <r>
    <n v="939607"/>
    <x v="0"/>
    <x v="2"/>
    <n v="29"/>
    <x v="6"/>
    <d v="2016-03-30T11:56:00"/>
    <x v="42"/>
    <x v="1"/>
    <x v="229"/>
    <n v="11"/>
    <x v="1"/>
    <x v="1"/>
    <x v="0"/>
    <x v="0"/>
    <x v="2"/>
  </r>
  <r>
    <n v="808949"/>
    <x v="2"/>
    <x v="4"/>
    <n v="35"/>
    <x v="4"/>
    <d v="2016-02-20T06:53:00"/>
    <x v="166"/>
    <x v="11"/>
    <x v="230"/>
    <n v="6"/>
    <x v="6"/>
    <x v="2"/>
    <x v="1"/>
    <x v="0"/>
    <x v="1"/>
  </r>
  <r>
    <n v="808949"/>
    <x v="2"/>
    <x v="4"/>
    <n v="35"/>
    <x v="4"/>
    <d v="2016-02-15T17:52:00"/>
    <x v="167"/>
    <x v="11"/>
    <x v="231"/>
    <n v="17"/>
    <x v="0"/>
    <x v="2"/>
    <x v="0"/>
    <x v="0"/>
    <x v="0"/>
  </r>
  <r>
    <n v="808949"/>
    <x v="2"/>
    <x v="4"/>
    <n v="35"/>
    <x v="4"/>
    <d v="2016-03-02T10:21:00"/>
    <x v="168"/>
    <x v="11"/>
    <x v="232"/>
    <n v="10"/>
    <x v="1"/>
    <x v="1"/>
    <x v="0"/>
    <x v="0"/>
    <x v="1"/>
  </r>
  <r>
    <n v="808949"/>
    <x v="2"/>
    <x v="4"/>
    <n v="35"/>
    <x v="4"/>
    <d v="2016-02-14T07:56:00"/>
    <x v="169"/>
    <x v="11"/>
    <x v="233"/>
    <n v="7"/>
    <x v="4"/>
    <x v="2"/>
    <x v="1"/>
    <x v="0"/>
    <x v="1"/>
  </r>
  <r>
    <n v="808949"/>
    <x v="2"/>
    <x v="4"/>
    <n v="35"/>
    <x v="4"/>
    <d v="2016-03-09T08:24:00"/>
    <x v="170"/>
    <x v="3"/>
    <x v="234"/>
    <n v="8"/>
    <x v="1"/>
    <x v="1"/>
    <x v="0"/>
    <x v="0"/>
    <x v="1"/>
  </r>
  <r>
    <n v="806460"/>
    <x v="0"/>
    <x v="2"/>
    <n v="39"/>
    <x v="4"/>
    <d v="2016-02-13T19:58:00"/>
    <x v="11"/>
    <x v="3"/>
    <x v="235"/>
    <n v="19"/>
    <x v="6"/>
    <x v="2"/>
    <x v="1"/>
    <x v="4"/>
    <x v="0"/>
  </r>
  <r>
    <n v="460303"/>
    <x v="1"/>
    <x v="1"/>
    <n v="0"/>
    <x v="1"/>
    <d v="2016-01-22T16:30:00"/>
    <x v="163"/>
    <x v="5"/>
    <x v="236"/>
    <n v="16"/>
    <x v="2"/>
    <x v="0"/>
    <x v="0"/>
    <x v="1"/>
    <x v="2"/>
  </r>
  <r>
    <n v="808950"/>
    <x v="0"/>
    <x v="4"/>
    <n v="18"/>
    <x v="7"/>
    <d v="2016-02-18T13:25:00"/>
    <x v="171"/>
    <x v="3"/>
    <x v="237"/>
    <n v="13"/>
    <x v="5"/>
    <x v="2"/>
    <x v="0"/>
    <x v="3"/>
    <x v="2"/>
  </r>
  <r>
    <n v="808950"/>
    <x v="0"/>
    <x v="4"/>
    <n v="18"/>
    <x v="7"/>
    <d v="2016-02-18T13:02:00"/>
    <x v="36"/>
    <x v="4"/>
    <x v="238"/>
    <n v="13"/>
    <x v="5"/>
    <x v="2"/>
    <x v="0"/>
    <x v="3"/>
    <x v="2"/>
  </r>
  <r>
    <n v="808950"/>
    <x v="0"/>
    <x v="4"/>
    <n v="18"/>
    <x v="7"/>
    <d v="2016-02-18T05:57:00"/>
    <x v="172"/>
    <x v="3"/>
    <x v="239"/>
    <n v="5"/>
    <x v="5"/>
    <x v="2"/>
    <x v="0"/>
    <x v="3"/>
    <x v="1"/>
  </r>
  <r>
    <n v="808950"/>
    <x v="0"/>
    <x v="4"/>
    <n v="18"/>
    <x v="7"/>
    <d v="2016-02-20T14:29:00"/>
    <x v="69"/>
    <x v="6"/>
    <x v="240"/>
    <n v="14"/>
    <x v="6"/>
    <x v="2"/>
    <x v="1"/>
    <x v="3"/>
    <x v="2"/>
  </r>
  <r>
    <n v="808950"/>
    <x v="0"/>
    <x v="4"/>
    <n v="18"/>
    <x v="7"/>
    <d v="2016-03-03T18:08:00"/>
    <x v="173"/>
    <x v="7"/>
    <x v="241"/>
    <n v="18"/>
    <x v="5"/>
    <x v="1"/>
    <x v="0"/>
    <x v="3"/>
    <x v="0"/>
  </r>
  <r>
    <n v="808950"/>
    <x v="0"/>
    <x v="4"/>
    <n v="18"/>
    <x v="7"/>
    <d v="2016-02-18T04:24:00"/>
    <x v="26"/>
    <x v="4"/>
    <x v="242"/>
    <n v="4"/>
    <x v="5"/>
    <x v="2"/>
    <x v="0"/>
    <x v="3"/>
    <x v="3"/>
  </r>
  <r>
    <n v="808950"/>
    <x v="0"/>
    <x v="4"/>
    <n v="18"/>
    <x v="7"/>
    <d v="2016-02-18T07:37:00"/>
    <x v="136"/>
    <x v="0"/>
    <x v="243"/>
    <n v="7"/>
    <x v="5"/>
    <x v="2"/>
    <x v="0"/>
    <x v="3"/>
    <x v="1"/>
  </r>
  <r>
    <n v="808950"/>
    <x v="0"/>
    <x v="4"/>
    <n v="18"/>
    <x v="7"/>
    <d v="2016-02-18T14:49:00"/>
    <x v="108"/>
    <x v="4"/>
    <x v="244"/>
    <n v="14"/>
    <x v="5"/>
    <x v="2"/>
    <x v="0"/>
    <x v="3"/>
    <x v="2"/>
  </r>
  <r>
    <n v="808950"/>
    <x v="0"/>
    <x v="4"/>
    <n v="18"/>
    <x v="7"/>
    <d v="2016-03-06T14:41:00"/>
    <x v="174"/>
    <x v="6"/>
    <x v="245"/>
    <n v="14"/>
    <x v="4"/>
    <x v="1"/>
    <x v="1"/>
    <x v="3"/>
    <x v="2"/>
  </r>
  <r>
    <n v="808950"/>
    <x v="0"/>
    <x v="4"/>
    <n v="18"/>
    <x v="7"/>
    <d v="2016-03-03T04:23:00"/>
    <x v="175"/>
    <x v="7"/>
    <x v="246"/>
    <n v="4"/>
    <x v="5"/>
    <x v="1"/>
    <x v="0"/>
    <x v="3"/>
    <x v="3"/>
  </r>
  <r>
    <n v="808950"/>
    <x v="0"/>
    <x v="4"/>
    <n v="18"/>
    <x v="7"/>
    <d v="2016-03-27T10:37:00"/>
    <x v="176"/>
    <x v="7"/>
    <x v="247"/>
    <n v="10"/>
    <x v="4"/>
    <x v="1"/>
    <x v="1"/>
    <x v="3"/>
    <x v="1"/>
  </r>
  <r>
    <n v="892644"/>
    <x v="0"/>
    <x v="4"/>
    <n v="18"/>
    <x v="2"/>
    <d v="2016-03-21T07:49:00"/>
    <x v="177"/>
    <x v="3"/>
    <x v="248"/>
    <n v="7"/>
    <x v="0"/>
    <x v="1"/>
    <x v="0"/>
    <x v="3"/>
    <x v="1"/>
  </r>
  <r>
    <n v="925955"/>
    <x v="0"/>
    <x v="2"/>
    <n v="23"/>
    <x v="2"/>
    <d v="2016-03-30T08:40:00"/>
    <x v="178"/>
    <x v="1"/>
    <x v="249"/>
    <n v="8"/>
    <x v="1"/>
    <x v="1"/>
    <x v="0"/>
    <x v="3"/>
    <x v="1"/>
  </r>
  <r>
    <n v="771823"/>
    <x v="0"/>
    <x v="4"/>
    <n v="26"/>
    <x v="0"/>
    <d v="2016-02-06T11:10:00"/>
    <x v="163"/>
    <x v="4"/>
    <x v="250"/>
    <n v="11"/>
    <x v="6"/>
    <x v="2"/>
    <x v="1"/>
    <x v="3"/>
    <x v="2"/>
  </r>
  <r>
    <n v="853642"/>
    <x v="0"/>
    <x v="0"/>
    <n v="24"/>
    <x v="4"/>
    <d v="2016-03-06T21:22:00"/>
    <x v="11"/>
    <x v="8"/>
    <x v="251"/>
    <n v="21"/>
    <x v="4"/>
    <x v="1"/>
    <x v="1"/>
    <x v="3"/>
    <x v="0"/>
  </r>
  <r>
    <n v="904101"/>
    <x v="0"/>
    <x v="2"/>
    <n v="29"/>
    <x v="2"/>
    <d v="2016-03-28T20:22:00"/>
    <x v="36"/>
    <x v="0"/>
    <x v="252"/>
    <n v="20"/>
    <x v="0"/>
    <x v="1"/>
    <x v="0"/>
    <x v="0"/>
    <x v="0"/>
  </r>
  <r>
    <n v="904101"/>
    <x v="0"/>
    <x v="2"/>
    <n v="29"/>
    <x v="2"/>
    <d v="2016-03-24T22:59:00"/>
    <x v="11"/>
    <x v="8"/>
    <x v="253"/>
    <n v="22"/>
    <x v="5"/>
    <x v="1"/>
    <x v="0"/>
    <x v="0"/>
    <x v="4"/>
  </r>
  <r>
    <n v="904101"/>
    <x v="0"/>
    <x v="2"/>
    <n v="29"/>
    <x v="2"/>
    <d v="2016-03-26T13:21:00"/>
    <x v="179"/>
    <x v="11"/>
    <x v="254"/>
    <n v="13"/>
    <x v="6"/>
    <x v="1"/>
    <x v="1"/>
    <x v="0"/>
    <x v="2"/>
  </r>
  <r>
    <n v="831732"/>
    <x v="0"/>
    <x v="0"/>
    <n v="22"/>
    <x v="2"/>
    <d v="2016-03-03T11:22:00"/>
    <x v="180"/>
    <x v="0"/>
    <x v="255"/>
    <n v="11"/>
    <x v="5"/>
    <x v="1"/>
    <x v="0"/>
    <x v="3"/>
    <x v="2"/>
  </r>
  <r>
    <n v="831732"/>
    <x v="0"/>
    <x v="0"/>
    <n v="22"/>
    <x v="2"/>
    <d v="2016-03-08T17:51:00"/>
    <x v="179"/>
    <x v="5"/>
    <x v="256"/>
    <n v="17"/>
    <x v="3"/>
    <x v="1"/>
    <x v="0"/>
    <x v="3"/>
    <x v="0"/>
  </r>
  <r>
    <n v="831732"/>
    <x v="0"/>
    <x v="0"/>
    <n v="22"/>
    <x v="2"/>
    <d v="2016-03-15T22:32:00"/>
    <x v="50"/>
    <x v="1"/>
    <x v="257"/>
    <n v="22"/>
    <x v="3"/>
    <x v="1"/>
    <x v="0"/>
    <x v="3"/>
    <x v="4"/>
  </r>
  <r>
    <n v="1106137"/>
    <x v="0"/>
    <x v="0"/>
    <n v="39"/>
    <x v="0"/>
    <d v="2016-01-08T21:02:00"/>
    <x v="181"/>
    <x v="8"/>
    <x v="258"/>
    <n v="21"/>
    <x v="2"/>
    <x v="0"/>
    <x v="0"/>
    <x v="4"/>
    <x v="0"/>
  </r>
  <r>
    <n v="1106137"/>
    <x v="0"/>
    <x v="0"/>
    <n v="39"/>
    <x v="0"/>
    <d v="2016-01-08T21:13:00"/>
    <x v="11"/>
    <x v="5"/>
    <x v="259"/>
    <n v="21"/>
    <x v="2"/>
    <x v="0"/>
    <x v="0"/>
    <x v="4"/>
    <x v="0"/>
  </r>
  <r>
    <n v="865372"/>
    <x v="2"/>
    <x v="0"/>
    <n v="29"/>
    <x v="4"/>
    <d v="2016-03-28T06:07:00"/>
    <x v="81"/>
    <x v="3"/>
    <x v="260"/>
    <n v="6"/>
    <x v="0"/>
    <x v="1"/>
    <x v="0"/>
    <x v="0"/>
    <x v="1"/>
  </r>
  <r>
    <n v="865372"/>
    <x v="2"/>
    <x v="0"/>
    <n v="29"/>
    <x v="4"/>
    <d v="2016-03-27T05:10:00"/>
    <x v="182"/>
    <x v="3"/>
    <x v="261"/>
    <n v="5"/>
    <x v="4"/>
    <x v="1"/>
    <x v="1"/>
    <x v="0"/>
    <x v="1"/>
  </r>
  <r>
    <n v="2255518"/>
    <x v="0"/>
    <x v="4"/>
    <n v="56"/>
    <x v="2"/>
    <d v="2016-02-05T10:14:00"/>
    <x v="36"/>
    <x v="6"/>
    <x v="262"/>
    <n v="10"/>
    <x v="2"/>
    <x v="2"/>
    <x v="0"/>
    <x v="2"/>
    <x v="1"/>
  </r>
  <r>
    <n v="2255518"/>
    <x v="0"/>
    <x v="4"/>
    <n v="56"/>
    <x v="2"/>
    <d v="2016-02-26T13:14:00"/>
    <x v="48"/>
    <x v="12"/>
    <x v="263"/>
    <n v="13"/>
    <x v="2"/>
    <x v="2"/>
    <x v="0"/>
    <x v="2"/>
    <x v="2"/>
  </r>
  <r>
    <n v="2255518"/>
    <x v="0"/>
    <x v="4"/>
    <n v="56"/>
    <x v="2"/>
    <d v="2016-02-15T05:24:00"/>
    <x v="128"/>
    <x v="9"/>
    <x v="264"/>
    <n v="5"/>
    <x v="0"/>
    <x v="2"/>
    <x v="0"/>
    <x v="2"/>
    <x v="1"/>
  </r>
  <r>
    <n v="2255518"/>
    <x v="0"/>
    <x v="4"/>
    <n v="56"/>
    <x v="2"/>
    <d v="2016-02-24T09:54:00"/>
    <x v="11"/>
    <x v="1"/>
    <x v="265"/>
    <n v="9"/>
    <x v="1"/>
    <x v="2"/>
    <x v="0"/>
    <x v="2"/>
    <x v="1"/>
  </r>
  <r>
    <n v="2255518"/>
    <x v="0"/>
    <x v="4"/>
    <n v="56"/>
    <x v="2"/>
    <d v="2016-01-12T15:23:00"/>
    <x v="102"/>
    <x v="6"/>
    <x v="266"/>
    <n v="15"/>
    <x v="3"/>
    <x v="0"/>
    <x v="0"/>
    <x v="2"/>
    <x v="2"/>
  </r>
  <r>
    <n v="2255518"/>
    <x v="0"/>
    <x v="4"/>
    <n v="56"/>
    <x v="2"/>
    <d v="2016-01-28T09:45:00"/>
    <x v="183"/>
    <x v="6"/>
    <x v="267"/>
    <n v="9"/>
    <x v="5"/>
    <x v="0"/>
    <x v="0"/>
    <x v="2"/>
    <x v="1"/>
  </r>
  <r>
    <n v="2255518"/>
    <x v="0"/>
    <x v="4"/>
    <n v="56"/>
    <x v="2"/>
    <d v="2016-01-03T14:58:00"/>
    <x v="11"/>
    <x v="4"/>
    <x v="268"/>
    <n v="14"/>
    <x v="4"/>
    <x v="0"/>
    <x v="1"/>
    <x v="2"/>
    <x v="2"/>
  </r>
  <r>
    <n v="779410"/>
    <x v="2"/>
    <x v="0"/>
    <n v="26"/>
    <x v="2"/>
    <d v="2016-01-21T17:19:00"/>
    <x v="184"/>
    <x v="5"/>
    <x v="269"/>
    <n v="17"/>
    <x v="5"/>
    <x v="0"/>
    <x v="0"/>
    <x v="3"/>
    <x v="0"/>
  </r>
  <r>
    <n v="779410"/>
    <x v="2"/>
    <x v="0"/>
    <n v="26"/>
    <x v="2"/>
    <d v="2016-02-03T12:04:00"/>
    <x v="185"/>
    <x v="0"/>
    <x v="270"/>
    <n v="12"/>
    <x v="1"/>
    <x v="2"/>
    <x v="0"/>
    <x v="3"/>
    <x v="2"/>
  </r>
  <r>
    <n v="771830"/>
    <x v="0"/>
    <x v="4"/>
    <n v="49"/>
    <x v="2"/>
    <d v="2016-01-01T14:43:00"/>
    <x v="186"/>
    <x v="0"/>
    <x v="271"/>
    <n v="14"/>
    <x v="2"/>
    <x v="0"/>
    <x v="0"/>
    <x v="2"/>
    <x v="2"/>
  </r>
  <r>
    <n v="507286"/>
    <x v="2"/>
    <x v="1"/>
    <n v="11"/>
    <x v="3"/>
    <d v="2016-01-02T15:59:00"/>
    <x v="187"/>
    <x v="0"/>
    <x v="272"/>
    <n v="15"/>
    <x v="6"/>
    <x v="0"/>
    <x v="1"/>
    <x v="1"/>
    <x v="2"/>
  </r>
  <r>
    <n v="507286"/>
    <x v="2"/>
    <x v="1"/>
    <n v="11"/>
    <x v="3"/>
    <d v="2016-01-04T17:01:00"/>
    <x v="44"/>
    <x v="5"/>
    <x v="273"/>
    <n v="17"/>
    <x v="0"/>
    <x v="0"/>
    <x v="0"/>
    <x v="1"/>
    <x v="0"/>
  </r>
  <r>
    <n v="507286"/>
    <x v="2"/>
    <x v="1"/>
    <n v="11"/>
    <x v="3"/>
    <d v="2016-01-04T07:31:00"/>
    <x v="188"/>
    <x v="3"/>
    <x v="274"/>
    <n v="7"/>
    <x v="0"/>
    <x v="0"/>
    <x v="0"/>
    <x v="1"/>
    <x v="1"/>
  </r>
  <r>
    <n v="507286"/>
    <x v="2"/>
    <x v="1"/>
    <n v="11"/>
    <x v="3"/>
    <d v="2016-01-04T10:21:00"/>
    <x v="189"/>
    <x v="5"/>
    <x v="275"/>
    <n v="10"/>
    <x v="0"/>
    <x v="0"/>
    <x v="0"/>
    <x v="1"/>
    <x v="1"/>
  </r>
  <r>
    <n v="507286"/>
    <x v="2"/>
    <x v="1"/>
    <n v="11"/>
    <x v="3"/>
    <d v="2016-01-01T05:32:00"/>
    <x v="172"/>
    <x v="12"/>
    <x v="276"/>
    <n v="5"/>
    <x v="2"/>
    <x v="0"/>
    <x v="0"/>
    <x v="1"/>
    <x v="1"/>
  </r>
  <r>
    <n v="507286"/>
    <x v="2"/>
    <x v="1"/>
    <n v="11"/>
    <x v="3"/>
    <d v="2016-01-03T15:00:00"/>
    <x v="190"/>
    <x v="3"/>
    <x v="277"/>
    <n v="15"/>
    <x v="4"/>
    <x v="0"/>
    <x v="1"/>
    <x v="1"/>
    <x v="2"/>
  </r>
  <r>
    <n v="1293309"/>
    <x v="0"/>
    <x v="2"/>
    <n v="30"/>
    <x v="6"/>
    <d v="2016-03-23T11:03:00"/>
    <x v="11"/>
    <x v="1"/>
    <x v="278"/>
    <n v="11"/>
    <x v="1"/>
    <x v="1"/>
    <x v="0"/>
    <x v="0"/>
    <x v="2"/>
  </r>
  <r>
    <n v="939619"/>
    <x v="0"/>
    <x v="0"/>
    <n v="50"/>
    <x v="0"/>
    <d v="2016-03-13T10:57:00"/>
    <x v="128"/>
    <x v="14"/>
    <x v="279"/>
    <n v="10"/>
    <x v="4"/>
    <x v="1"/>
    <x v="1"/>
    <x v="2"/>
    <x v="1"/>
  </r>
  <r>
    <n v="939619"/>
    <x v="0"/>
    <x v="0"/>
    <n v="50"/>
    <x v="0"/>
    <d v="2016-03-13T08:55:00"/>
    <x v="145"/>
    <x v="7"/>
    <x v="280"/>
    <n v="8"/>
    <x v="4"/>
    <x v="1"/>
    <x v="1"/>
    <x v="2"/>
    <x v="1"/>
  </r>
  <r>
    <n v="988056"/>
    <x v="0"/>
    <x v="0"/>
    <n v="37"/>
    <x v="0"/>
    <d v="2016-03-31T17:35:00"/>
    <x v="11"/>
    <x v="8"/>
    <x v="281"/>
    <n v="17"/>
    <x v="5"/>
    <x v="1"/>
    <x v="0"/>
    <x v="0"/>
    <x v="0"/>
  </r>
  <r>
    <n v="18031"/>
    <x v="2"/>
    <x v="4"/>
    <n v="37"/>
    <x v="2"/>
    <d v="2016-01-28T18:49:00"/>
    <x v="2"/>
    <x v="6"/>
    <x v="282"/>
    <n v="18"/>
    <x v="5"/>
    <x v="0"/>
    <x v="0"/>
    <x v="0"/>
    <x v="0"/>
  </r>
  <r>
    <n v="18031"/>
    <x v="2"/>
    <x v="4"/>
    <n v="37"/>
    <x v="2"/>
    <d v="2016-01-06T23:00:00"/>
    <x v="191"/>
    <x v="12"/>
    <x v="283"/>
    <n v="23"/>
    <x v="1"/>
    <x v="0"/>
    <x v="0"/>
    <x v="0"/>
    <x v="4"/>
  </r>
  <r>
    <n v="808958"/>
    <x v="0"/>
    <x v="4"/>
    <n v="25"/>
    <x v="2"/>
    <d v="2016-02-21T17:13:00"/>
    <x v="192"/>
    <x v="7"/>
    <x v="284"/>
    <n v="17"/>
    <x v="4"/>
    <x v="2"/>
    <x v="1"/>
    <x v="3"/>
    <x v="0"/>
  </r>
  <r>
    <n v="808958"/>
    <x v="0"/>
    <x v="4"/>
    <n v="25"/>
    <x v="2"/>
    <d v="2016-02-20T13:26:00"/>
    <x v="161"/>
    <x v="0"/>
    <x v="285"/>
    <n v="13"/>
    <x v="6"/>
    <x v="2"/>
    <x v="1"/>
    <x v="3"/>
    <x v="2"/>
  </r>
  <r>
    <n v="808958"/>
    <x v="0"/>
    <x v="4"/>
    <n v="25"/>
    <x v="2"/>
    <d v="2016-02-20T17:14:00"/>
    <x v="132"/>
    <x v="4"/>
    <x v="286"/>
    <n v="17"/>
    <x v="6"/>
    <x v="2"/>
    <x v="1"/>
    <x v="3"/>
    <x v="0"/>
  </r>
  <r>
    <n v="808958"/>
    <x v="0"/>
    <x v="4"/>
    <n v="25"/>
    <x v="2"/>
    <d v="2016-03-02T09:10:00"/>
    <x v="193"/>
    <x v="3"/>
    <x v="287"/>
    <n v="9"/>
    <x v="1"/>
    <x v="1"/>
    <x v="0"/>
    <x v="3"/>
    <x v="1"/>
  </r>
  <r>
    <n v="808958"/>
    <x v="0"/>
    <x v="4"/>
    <n v="25"/>
    <x v="2"/>
    <d v="2016-02-21T13:56:00"/>
    <x v="194"/>
    <x v="5"/>
    <x v="288"/>
    <n v="13"/>
    <x v="4"/>
    <x v="2"/>
    <x v="1"/>
    <x v="3"/>
    <x v="2"/>
  </r>
  <r>
    <n v="808958"/>
    <x v="0"/>
    <x v="4"/>
    <n v="25"/>
    <x v="2"/>
    <d v="2016-02-24T18:21:00"/>
    <x v="195"/>
    <x v="0"/>
    <x v="289"/>
    <n v="18"/>
    <x v="1"/>
    <x v="2"/>
    <x v="0"/>
    <x v="3"/>
    <x v="0"/>
  </r>
  <r>
    <n v="808958"/>
    <x v="0"/>
    <x v="4"/>
    <n v="25"/>
    <x v="2"/>
    <d v="2016-02-24T10:38:00"/>
    <x v="136"/>
    <x v="5"/>
    <x v="290"/>
    <n v="10"/>
    <x v="1"/>
    <x v="2"/>
    <x v="0"/>
    <x v="3"/>
    <x v="1"/>
  </r>
  <r>
    <n v="808958"/>
    <x v="0"/>
    <x v="4"/>
    <n v="25"/>
    <x v="2"/>
    <d v="2016-03-01T18:49:00"/>
    <x v="8"/>
    <x v="3"/>
    <x v="291"/>
    <n v="18"/>
    <x v="3"/>
    <x v="1"/>
    <x v="0"/>
    <x v="3"/>
    <x v="0"/>
  </r>
  <r>
    <n v="840343"/>
    <x v="0"/>
    <x v="3"/>
    <n v="36"/>
    <x v="6"/>
    <d v="2016-03-05T18:37:00"/>
    <x v="196"/>
    <x v="0"/>
    <x v="292"/>
    <n v="18"/>
    <x v="6"/>
    <x v="1"/>
    <x v="1"/>
    <x v="0"/>
    <x v="0"/>
  </r>
  <r>
    <n v="1106156"/>
    <x v="0"/>
    <x v="3"/>
    <n v="18"/>
    <x v="5"/>
    <d v="2016-03-31T20:16:00"/>
    <x v="197"/>
    <x v="7"/>
    <x v="293"/>
    <n v="20"/>
    <x v="5"/>
    <x v="1"/>
    <x v="0"/>
    <x v="3"/>
    <x v="0"/>
  </r>
  <r>
    <n v="793616"/>
    <x v="0"/>
    <x v="3"/>
    <n v="29"/>
    <x v="2"/>
    <d v="2016-01-25T04:11:00"/>
    <x v="44"/>
    <x v="12"/>
    <x v="294"/>
    <n v="4"/>
    <x v="0"/>
    <x v="0"/>
    <x v="0"/>
    <x v="0"/>
    <x v="3"/>
  </r>
  <r>
    <n v="793616"/>
    <x v="0"/>
    <x v="3"/>
    <n v="29"/>
    <x v="2"/>
    <d v="2016-01-24T14:16:00"/>
    <x v="198"/>
    <x v="11"/>
    <x v="295"/>
    <n v="14"/>
    <x v="4"/>
    <x v="0"/>
    <x v="1"/>
    <x v="0"/>
    <x v="2"/>
  </r>
  <r>
    <n v="939622"/>
    <x v="0"/>
    <x v="3"/>
    <n v="38"/>
    <x v="5"/>
    <d v="2016-03-27T23:23:00"/>
    <x v="172"/>
    <x v="3"/>
    <x v="296"/>
    <n v="23"/>
    <x v="4"/>
    <x v="1"/>
    <x v="1"/>
    <x v="0"/>
    <x v="4"/>
  </r>
  <r>
    <n v="939622"/>
    <x v="0"/>
    <x v="3"/>
    <n v="38"/>
    <x v="5"/>
    <d v="2016-03-28T13:14:00"/>
    <x v="183"/>
    <x v="10"/>
    <x v="297"/>
    <n v="13"/>
    <x v="0"/>
    <x v="1"/>
    <x v="0"/>
    <x v="0"/>
    <x v="2"/>
  </r>
  <r>
    <n v="939622"/>
    <x v="0"/>
    <x v="3"/>
    <n v="38"/>
    <x v="5"/>
    <d v="2016-03-30T13:29:00"/>
    <x v="199"/>
    <x v="12"/>
    <x v="298"/>
    <n v="13"/>
    <x v="1"/>
    <x v="1"/>
    <x v="0"/>
    <x v="0"/>
    <x v="2"/>
  </r>
  <r>
    <n v="868925"/>
    <x v="0"/>
    <x v="2"/>
    <n v="28"/>
    <x v="2"/>
    <d v="2016-03-08T10:27:00"/>
    <x v="50"/>
    <x v="7"/>
    <x v="299"/>
    <n v="10"/>
    <x v="3"/>
    <x v="1"/>
    <x v="0"/>
    <x v="3"/>
    <x v="1"/>
  </r>
  <r>
    <n v="764342"/>
    <x v="0"/>
    <x v="3"/>
    <n v="38"/>
    <x v="3"/>
    <d v="2016-02-02T06:11:00"/>
    <x v="200"/>
    <x v="7"/>
    <x v="300"/>
    <n v="6"/>
    <x v="3"/>
    <x v="2"/>
    <x v="0"/>
    <x v="0"/>
    <x v="1"/>
  </r>
  <r>
    <n v="808961"/>
    <x v="0"/>
    <x v="2"/>
    <n v="27"/>
    <x v="2"/>
    <d v="2016-02-20T01:51:00"/>
    <x v="201"/>
    <x v="3"/>
    <x v="301"/>
    <n v="1"/>
    <x v="6"/>
    <x v="2"/>
    <x v="1"/>
    <x v="3"/>
    <x v="3"/>
  </r>
  <r>
    <n v="808961"/>
    <x v="0"/>
    <x v="2"/>
    <n v="27"/>
    <x v="2"/>
    <d v="2016-02-22T16:24:00"/>
    <x v="202"/>
    <x v="3"/>
    <x v="302"/>
    <n v="16"/>
    <x v="0"/>
    <x v="2"/>
    <x v="0"/>
    <x v="3"/>
    <x v="2"/>
  </r>
  <r>
    <n v="853655"/>
    <x v="0"/>
    <x v="4"/>
    <n v="20"/>
    <x v="2"/>
    <d v="2016-02-16T15:45:00"/>
    <x v="11"/>
    <x v="2"/>
    <x v="303"/>
    <n v="15"/>
    <x v="3"/>
    <x v="2"/>
    <x v="0"/>
    <x v="3"/>
    <x v="2"/>
  </r>
  <r>
    <n v="939624"/>
    <x v="0"/>
    <x v="4"/>
    <n v="19"/>
    <x v="2"/>
    <d v="2016-03-22T18:50:00"/>
    <x v="203"/>
    <x v="0"/>
    <x v="113"/>
    <n v="18"/>
    <x v="3"/>
    <x v="1"/>
    <x v="0"/>
    <x v="3"/>
    <x v="0"/>
  </r>
  <r>
    <n v="939624"/>
    <x v="0"/>
    <x v="4"/>
    <n v="19"/>
    <x v="2"/>
    <d v="2016-03-20T10:36:00"/>
    <x v="204"/>
    <x v="13"/>
    <x v="304"/>
    <n v="10"/>
    <x v="4"/>
    <x v="1"/>
    <x v="1"/>
    <x v="3"/>
    <x v="1"/>
  </r>
  <r>
    <n v="939624"/>
    <x v="0"/>
    <x v="4"/>
    <n v="19"/>
    <x v="2"/>
    <d v="2016-03-20T10:44:00"/>
    <x v="205"/>
    <x v="13"/>
    <x v="305"/>
    <n v="10"/>
    <x v="4"/>
    <x v="1"/>
    <x v="1"/>
    <x v="3"/>
    <x v="1"/>
  </r>
  <r>
    <n v="939624"/>
    <x v="0"/>
    <x v="4"/>
    <n v="19"/>
    <x v="2"/>
    <d v="2016-03-31T21:12:00"/>
    <x v="11"/>
    <x v="3"/>
    <x v="306"/>
    <n v="21"/>
    <x v="5"/>
    <x v="1"/>
    <x v="0"/>
    <x v="3"/>
    <x v="0"/>
  </r>
  <r>
    <n v="939624"/>
    <x v="0"/>
    <x v="4"/>
    <n v="19"/>
    <x v="2"/>
    <d v="2016-03-31T21:22:00"/>
    <x v="206"/>
    <x v="0"/>
    <x v="307"/>
    <n v="21"/>
    <x v="5"/>
    <x v="1"/>
    <x v="0"/>
    <x v="3"/>
    <x v="0"/>
  </r>
  <r>
    <n v="939624"/>
    <x v="0"/>
    <x v="4"/>
    <n v="19"/>
    <x v="2"/>
    <d v="2016-03-16T17:07:00"/>
    <x v="22"/>
    <x v="13"/>
    <x v="308"/>
    <n v="17"/>
    <x v="1"/>
    <x v="1"/>
    <x v="0"/>
    <x v="3"/>
    <x v="0"/>
  </r>
  <r>
    <n v="2203312"/>
    <x v="0"/>
    <x v="0"/>
    <n v="54"/>
    <x v="0"/>
    <d v="2016-03-31T20:46:00"/>
    <x v="168"/>
    <x v="13"/>
    <x v="309"/>
    <n v="20"/>
    <x v="5"/>
    <x v="1"/>
    <x v="0"/>
    <x v="2"/>
    <x v="0"/>
  </r>
  <r>
    <n v="808965"/>
    <x v="0"/>
    <x v="0"/>
    <n v="36"/>
    <x v="0"/>
    <d v="2016-02-18T08:55:00"/>
    <x v="3"/>
    <x v="7"/>
    <x v="310"/>
    <n v="8"/>
    <x v="5"/>
    <x v="2"/>
    <x v="0"/>
    <x v="0"/>
    <x v="1"/>
  </r>
  <r>
    <n v="808965"/>
    <x v="0"/>
    <x v="0"/>
    <n v="36"/>
    <x v="0"/>
    <d v="2016-02-15T19:55:00"/>
    <x v="186"/>
    <x v="6"/>
    <x v="311"/>
    <n v="19"/>
    <x v="0"/>
    <x v="2"/>
    <x v="0"/>
    <x v="0"/>
    <x v="0"/>
  </r>
  <r>
    <n v="808965"/>
    <x v="0"/>
    <x v="0"/>
    <n v="36"/>
    <x v="0"/>
    <d v="2016-02-24T12:14:00"/>
    <x v="207"/>
    <x v="1"/>
    <x v="312"/>
    <n v="12"/>
    <x v="1"/>
    <x v="2"/>
    <x v="0"/>
    <x v="0"/>
    <x v="2"/>
  </r>
  <r>
    <n v="808965"/>
    <x v="0"/>
    <x v="0"/>
    <n v="36"/>
    <x v="0"/>
    <d v="2016-02-18T06:44:00"/>
    <x v="150"/>
    <x v="6"/>
    <x v="313"/>
    <n v="6"/>
    <x v="5"/>
    <x v="2"/>
    <x v="0"/>
    <x v="0"/>
    <x v="1"/>
  </r>
  <r>
    <n v="808965"/>
    <x v="0"/>
    <x v="0"/>
    <n v="36"/>
    <x v="0"/>
    <d v="2016-02-06T06:42:00"/>
    <x v="158"/>
    <x v="6"/>
    <x v="314"/>
    <n v="6"/>
    <x v="6"/>
    <x v="2"/>
    <x v="1"/>
    <x v="0"/>
    <x v="1"/>
  </r>
  <r>
    <n v="808965"/>
    <x v="0"/>
    <x v="0"/>
    <n v="36"/>
    <x v="0"/>
    <d v="2016-03-06T09:16:00"/>
    <x v="208"/>
    <x v="1"/>
    <x v="315"/>
    <n v="9"/>
    <x v="4"/>
    <x v="1"/>
    <x v="1"/>
    <x v="0"/>
    <x v="1"/>
  </r>
  <r>
    <n v="808965"/>
    <x v="0"/>
    <x v="0"/>
    <n v="36"/>
    <x v="0"/>
    <d v="2016-02-09T18:54:00"/>
    <x v="30"/>
    <x v="8"/>
    <x v="316"/>
    <n v="18"/>
    <x v="3"/>
    <x v="2"/>
    <x v="0"/>
    <x v="0"/>
    <x v="0"/>
  </r>
  <r>
    <n v="788672"/>
    <x v="0"/>
    <x v="4"/>
    <n v="39"/>
    <x v="2"/>
    <d v="2016-02-11T19:21:00"/>
    <x v="199"/>
    <x v="3"/>
    <x v="317"/>
    <n v="19"/>
    <x v="5"/>
    <x v="2"/>
    <x v="0"/>
    <x v="4"/>
    <x v="0"/>
  </r>
  <r>
    <n v="788672"/>
    <x v="0"/>
    <x v="4"/>
    <n v="39"/>
    <x v="2"/>
    <d v="2016-01-19T15:29:00"/>
    <x v="19"/>
    <x v="11"/>
    <x v="318"/>
    <n v="15"/>
    <x v="3"/>
    <x v="0"/>
    <x v="0"/>
    <x v="4"/>
    <x v="2"/>
  </r>
  <r>
    <n v="808966"/>
    <x v="0"/>
    <x v="4"/>
    <n v="21"/>
    <x v="7"/>
    <d v="2016-03-13T10:06:00"/>
    <x v="53"/>
    <x v="6"/>
    <x v="319"/>
    <n v="10"/>
    <x v="4"/>
    <x v="1"/>
    <x v="1"/>
    <x v="3"/>
    <x v="1"/>
  </r>
  <r>
    <n v="808966"/>
    <x v="0"/>
    <x v="4"/>
    <n v="21"/>
    <x v="7"/>
    <d v="2016-03-13T16:22:00"/>
    <x v="209"/>
    <x v="6"/>
    <x v="320"/>
    <n v="16"/>
    <x v="4"/>
    <x v="1"/>
    <x v="1"/>
    <x v="3"/>
    <x v="2"/>
  </r>
  <r>
    <n v="808966"/>
    <x v="0"/>
    <x v="4"/>
    <n v="21"/>
    <x v="7"/>
    <d v="2016-01-19T20:29:00"/>
    <x v="210"/>
    <x v="6"/>
    <x v="321"/>
    <n v="20"/>
    <x v="3"/>
    <x v="0"/>
    <x v="0"/>
    <x v="3"/>
    <x v="0"/>
  </r>
  <r>
    <n v="808966"/>
    <x v="0"/>
    <x v="4"/>
    <n v="21"/>
    <x v="7"/>
    <d v="2016-03-23T08:40:00"/>
    <x v="211"/>
    <x v="1"/>
    <x v="322"/>
    <n v="8"/>
    <x v="1"/>
    <x v="1"/>
    <x v="0"/>
    <x v="3"/>
    <x v="1"/>
  </r>
  <r>
    <n v="808966"/>
    <x v="0"/>
    <x v="4"/>
    <n v="21"/>
    <x v="7"/>
    <d v="2016-03-19T20:17:00"/>
    <x v="212"/>
    <x v="3"/>
    <x v="323"/>
    <n v="20"/>
    <x v="6"/>
    <x v="1"/>
    <x v="1"/>
    <x v="3"/>
    <x v="0"/>
  </r>
  <r>
    <n v="808966"/>
    <x v="0"/>
    <x v="4"/>
    <n v="21"/>
    <x v="7"/>
    <d v="2016-01-27T19:25:00"/>
    <x v="168"/>
    <x v="11"/>
    <x v="324"/>
    <n v="19"/>
    <x v="1"/>
    <x v="0"/>
    <x v="0"/>
    <x v="3"/>
    <x v="0"/>
  </r>
  <r>
    <n v="808966"/>
    <x v="0"/>
    <x v="4"/>
    <n v="21"/>
    <x v="7"/>
    <d v="2016-03-20T13:54:00"/>
    <x v="204"/>
    <x v="11"/>
    <x v="325"/>
    <n v="13"/>
    <x v="4"/>
    <x v="1"/>
    <x v="1"/>
    <x v="3"/>
    <x v="2"/>
  </r>
  <r>
    <n v="808966"/>
    <x v="0"/>
    <x v="4"/>
    <n v="21"/>
    <x v="7"/>
    <d v="2016-03-20T20:18:00"/>
    <x v="11"/>
    <x v="6"/>
    <x v="140"/>
    <n v="20"/>
    <x v="4"/>
    <x v="1"/>
    <x v="1"/>
    <x v="3"/>
    <x v="0"/>
  </r>
  <r>
    <n v="808966"/>
    <x v="0"/>
    <x v="4"/>
    <n v="21"/>
    <x v="7"/>
    <d v="2016-03-20T14:40:00"/>
    <x v="11"/>
    <x v="6"/>
    <x v="326"/>
    <n v="14"/>
    <x v="4"/>
    <x v="1"/>
    <x v="1"/>
    <x v="3"/>
    <x v="2"/>
  </r>
  <r>
    <n v="808966"/>
    <x v="0"/>
    <x v="4"/>
    <n v="21"/>
    <x v="7"/>
    <d v="2016-02-23T04:06:00"/>
    <x v="213"/>
    <x v="7"/>
    <x v="327"/>
    <n v="4"/>
    <x v="3"/>
    <x v="2"/>
    <x v="0"/>
    <x v="3"/>
    <x v="3"/>
  </r>
  <r>
    <n v="808966"/>
    <x v="0"/>
    <x v="4"/>
    <n v="21"/>
    <x v="7"/>
    <d v="2016-03-24T04:14:00"/>
    <x v="11"/>
    <x v="7"/>
    <x v="328"/>
    <n v="4"/>
    <x v="5"/>
    <x v="1"/>
    <x v="0"/>
    <x v="3"/>
    <x v="3"/>
  </r>
  <r>
    <n v="633678"/>
    <x v="1"/>
    <x v="1"/>
    <n v="0"/>
    <x v="1"/>
    <d v="2016-02-11T19:05:00"/>
    <x v="11"/>
    <x v="4"/>
    <x v="329"/>
    <n v="19"/>
    <x v="5"/>
    <x v="2"/>
    <x v="0"/>
    <x v="1"/>
    <x v="0"/>
  </r>
  <r>
    <n v="786099"/>
    <x v="0"/>
    <x v="4"/>
    <n v="30"/>
    <x v="2"/>
    <d v="2016-02-09T14:10:00"/>
    <x v="25"/>
    <x v="8"/>
    <x v="330"/>
    <n v="14"/>
    <x v="3"/>
    <x v="2"/>
    <x v="0"/>
    <x v="0"/>
    <x v="2"/>
  </r>
  <r>
    <n v="808969"/>
    <x v="0"/>
    <x v="4"/>
    <n v="18"/>
    <x v="2"/>
    <d v="2016-03-03T08:06:00"/>
    <x v="2"/>
    <x v="6"/>
    <x v="331"/>
    <n v="8"/>
    <x v="5"/>
    <x v="1"/>
    <x v="0"/>
    <x v="3"/>
    <x v="1"/>
  </r>
  <r>
    <n v="808969"/>
    <x v="0"/>
    <x v="4"/>
    <n v="18"/>
    <x v="2"/>
    <d v="2016-03-08T10:47:00"/>
    <x v="214"/>
    <x v="0"/>
    <x v="332"/>
    <n v="10"/>
    <x v="3"/>
    <x v="1"/>
    <x v="0"/>
    <x v="3"/>
    <x v="1"/>
  </r>
  <r>
    <n v="808969"/>
    <x v="0"/>
    <x v="4"/>
    <n v="18"/>
    <x v="2"/>
    <d v="2016-01-12T19:58:00"/>
    <x v="215"/>
    <x v="6"/>
    <x v="333"/>
    <n v="19"/>
    <x v="3"/>
    <x v="0"/>
    <x v="0"/>
    <x v="3"/>
    <x v="0"/>
  </r>
  <r>
    <n v="808969"/>
    <x v="0"/>
    <x v="4"/>
    <n v="18"/>
    <x v="2"/>
    <d v="2016-01-13T16:40:00"/>
    <x v="20"/>
    <x v="0"/>
    <x v="334"/>
    <n v="16"/>
    <x v="1"/>
    <x v="0"/>
    <x v="0"/>
    <x v="3"/>
    <x v="2"/>
  </r>
  <r>
    <n v="808969"/>
    <x v="0"/>
    <x v="4"/>
    <n v="18"/>
    <x v="2"/>
    <d v="2016-01-11T20:00:00"/>
    <x v="114"/>
    <x v="5"/>
    <x v="335"/>
    <n v="20"/>
    <x v="0"/>
    <x v="0"/>
    <x v="0"/>
    <x v="3"/>
    <x v="0"/>
  </r>
  <r>
    <n v="859311"/>
    <x v="0"/>
    <x v="2"/>
    <n v="21"/>
    <x v="4"/>
    <d v="2016-03-08T19:53:00"/>
    <x v="216"/>
    <x v="3"/>
    <x v="336"/>
    <n v="19"/>
    <x v="3"/>
    <x v="1"/>
    <x v="0"/>
    <x v="3"/>
    <x v="0"/>
  </r>
  <r>
    <n v="859311"/>
    <x v="0"/>
    <x v="2"/>
    <n v="21"/>
    <x v="4"/>
    <d v="2016-03-10T18:00:00"/>
    <x v="217"/>
    <x v="0"/>
    <x v="337"/>
    <n v="18"/>
    <x v="5"/>
    <x v="1"/>
    <x v="0"/>
    <x v="3"/>
    <x v="0"/>
  </r>
  <r>
    <n v="859311"/>
    <x v="0"/>
    <x v="2"/>
    <n v="21"/>
    <x v="4"/>
    <d v="2016-03-10T19:04:00"/>
    <x v="218"/>
    <x v="4"/>
    <x v="338"/>
    <n v="19"/>
    <x v="5"/>
    <x v="1"/>
    <x v="0"/>
    <x v="3"/>
    <x v="0"/>
  </r>
  <r>
    <n v="808971"/>
    <x v="0"/>
    <x v="4"/>
    <n v="36"/>
    <x v="2"/>
    <d v="2016-02-18T18:28:00"/>
    <x v="45"/>
    <x v="3"/>
    <x v="339"/>
    <n v="18"/>
    <x v="5"/>
    <x v="2"/>
    <x v="0"/>
    <x v="0"/>
    <x v="0"/>
  </r>
  <r>
    <n v="808971"/>
    <x v="0"/>
    <x v="4"/>
    <n v="36"/>
    <x v="2"/>
    <d v="2016-02-07T13:41:00"/>
    <x v="36"/>
    <x v="3"/>
    <x v="340"/>
    <n v="13"/>
    <x v="4"/>
    <x v="2"/>
    <x v="1"/>
    <x v="0"/>
    <x v="2"/>
  </r>
  <r>
    <n v="808971"/>
    <x v="0"/>
    <x v="4"/>
    <n v="36"/>
    <x v="2"/>
    <d v="2016-02-07T20:15:00"/>
    <x v="219"/>
    <x v="3"/>
    <x v="341"/>
    <n v="20"/>
    <x v="4"/>
    <x v="2"/>
    <x v="1"/>
    <x v="0"/>
    <x v="0"/>
  </r>
  <r>
    <n v="808971"/>
    <x v="0"/>
    <x v="4"/>
    <n v="36"/>
    <x v="2"/>
    <d v="2016-01-26T14:16:00"/>
    <x v="220"/>
    <x v="4"/>
    <x v="342"/>
    <n v="14"/>
    <x v="3"/>
    <x v="0"/>
    <x v="0"/>
    <x v="0"/>
    <x v="2"/>
  </r>
  <r>
    <n v="808971"/>
    <x v="0"/>
    <x v="4"/>
    <n v="36"/>
    <x v="2"/>
    <d v="2016-03-30T19:19:00"/>
    <x v="11"/>
    <x v="3"/>
    <x v="343"/>
    <n v="19"/>
    <x v="1"/>
    <x v="1"/>
    <x v="0"/>
    <x v="0"/>
    <x v="0"/>
  </r>
  <r>
    <n v="808971"/>
    <x v="0"/>
    <x v="4"/>
    <n v="36"/>
    <x v="2"/>
    <d v="2016-03-25T14:23:00"/>
    <x v="182"/>
    <x v="3"/>
    <x v="344"/>
    <n v="14"/>
    <x v="2"/>
    <x v="1"/>
    <x v="0"/>
    <x v="0"/>
    <x v="2"/>
  </r>
  <r>
    <n v="830980"/>
    <x v="0"/>
    <x v="2"/>
    <n v="42"/>
    <x v="4"/>
    <d v="2016-03-17T10:13:00"/>
    <x v="221"/>
    <x v="3"/>
    <x v="345"/>
    <n v="10"/>
    <x v="5"/>
    <x v="1"/>
    <x v="0"/>
    <x v="4"/>
    <x v="1"/>
  </r>
  <r>
    <n v="792729"/>
    <x v="1"/>
    <x v="1"/>
    <n v="0"/>
    <x v="1"/>
    <d v="2016-03-30T17:50:00"/>
    <x v="0"/>
    <x v="0"/>
    <x v="346"/>
    <n v="17"/>
    <x v="1"/>
    <x v="1"/>
    <x v="0"/>
    <x v="1"/>
    <x v="0"/>
  </r>
  <r>
    <n v="820387"/>
    <x v="0"/>
    <x v="4"/>
    <n v="15"/>
    <x v="6"/>
    <d v="2016-01-27T13:54:00"/>
    <x v="222"/>
    <x v="7"/>
    <x v="347"/>
    <n v="13"/>
    <x v="1"/>
    <x v="0"/>
    <x v="0"/>
    <x v="1"/>
    <x v="2"/>
  </r>
  <r>
    <n v="820387"/>
    <x v="0"/>
    <x v="4"/>
    <n v="15"/>
    <x v="6"/>
    <d v="2016-01-27T09:52:00"/>
    <x v="223"/>
    <x v="5"/>
    <x v="348"/>
    <n v="9"/>
    <x v="1"/>
    <x v="0"/>
    <x v="0"/>
    <x v="1"/>
    <x v="1"/>
  </r>
  <r>
    <n v="820387"/>
    <x v="0"/>
    <x v="4"/>
    <n v="15"/>
    <x v="6"/>
    <d v="2016-01-25T10:07:00"/>
    <x v="45"/>
    <x v="4"/>
    <x v="349"/>
    <n v="10"/>
    <x v="0"/>
    <x v="0"/>
    <x v="0"/>
    <x v="1"/>
    <x v="1"/>
  </r>
  <r>
    <n v="820387"/>
    <x v="0"/>
    <x v="4"/>
    <n v="15"/>
    <x v="6"/>
    <d v="2016-01-26T19:30:00"/>
    <x v="224"/>
    <x v="7"/>
    <x v="350"/>
    <n v="19"/>
    <x v="3"/>
    <x v="0"/>
    <x v="0"/>
    <x v="1"/>
    <x v="0"/>
  </r>
  <r>
    <n v="892515"/>
    <x v="0"/>
    <x v="3"/>
    <n v="34"/>
    <x v="0"/>
    <d v="2016-03-23T07:31:00"/>
    <x v="3"/>
    <x v="7"/>
    <x v="351"/>
    <n v="7"/>
    <x v="1"/>
    <x v="1"/>
    <x v="0"/>
    <x v="0"/>
    <x v="1"/>
  </r>
  <r>
    <n v="892515"/>
    <x v="0"/>
    <x v="3"/>
    <n v="34"/>
    <x v="0"/>
    <d v="2016-03-18T11:13:00"/>
    <x v="225"/>
    <x v="6"/>
    <x v="352"/>
    <n v="11"/>
    <x v="2"/>
    <x v="1"/>
    <x v="0"/>
    <x v="0"/>
    <x v="2"/>
  </r>
  <r>
    <n v="2203323"/>
    <x v="0"/>
    <x v="4"/>
    <n v="43"/>
    <x v="7"/>
    <d v="2016-02-24T14:56:00"/>
    <x v="226"/>
    <x v="1"/>
    <x v="353"/>
    <n v="14"/>
    <x v="1"/>
    <x v="2"/>
    <x v="0"/>
    <x v="4"/>
    <x v="2"/>
  </r>
  <r>
    <n v="2203323"/>
    <x v="0"/>
    <x v="4"/>
    <n v="43"/>
    <x v="7"/>
    <d v="2016-02-24T19:43:00"/>
    <x v="132"/>
    <x v="4"/>
    <x v="354"/>
    <n v="19"/>
    <x v="1"/>
    <x v="2"/>
    <x v="0"/>
    <x v="4"/>
    <x v="0"/>
  </r>
  <r>
    <n v="2203323"/>
    <x v="0"/>
    <x v="4"/>
    <n v="43"/>
    <x v="7"/>
    <d v="2016-02-27T09:07:00"/>
    <x v="227"/>
    <x v="11"/>
    <x v="355"/>
    <n v="9"/>
    <x v="6"/>
    <x v="2"/>
    <x v="1"/>
    <x v="4"/>
    <x v="1"/>
  </r>
  <r>
    <n v="808976"/>
    <x v="0"/>
    <x v="4"/>
    <n v="46"/>
    <x v="2"/>
    <d v="2016-03-02T15:30:00"/>
    <x v="228"/>
    <x v="7"/>
    <x v="356"/>
    <n v="15"/>
    <x v="1"/>
    <x v="1"/>
    <x v="0"/>
    <x v="4"/>
    <x v="2"/>
  </r>
  <r>
    <n v="866192"/>
    <x v="1"/>
    <x v="1"/>
    <n v="0"/>
    <x v="1"/>
    <d v="2016-03-23T20:07:00"/>
    <x v="49"/>
    <x v="2"/>
    <x v="357"/>
    <n v="20"/>
    <x v="1"/>
    <x v="1"/>
    <x v="0"/>
    <x v="1"/>
    <x v="0"/>
  </r>
  <r>
    <n v="866192"/>
    <x v="1"/>
    <x v="1"/>
    <n v="0"/>
    <x v="1"/>
    <d v="2016-03-26T04:50:00"/>
    <x v="229"/>
    <x v="0"/>
    <x v="358"/>
    <n v="4"/>
    <x v="6"/>
    <x v="1"/>
    <x v="1"/>
    <x v="1"/>
    <x v="3"/>
  </r>
  <r>
    <n v="866192"/>
    <x v="1"/>
    <x v="1"/>
    <n v="0"/>
    <x v="1"/>
    <d v="2016-03-26T20:57:00"/>
    <x v="11"/>
    <x v="13"/>
    <x v="359"/>
    <n v="20"/>
    <x v="6"/>
    <x v="1"/>
    <x v="1"/>
    <x v="1"/>
    <x v="0"/>
  </r>
  <r>
    <n v="930014"/>
    <x v="0"/>
    <x v="2"/>
    <n v="33"/>
    <x v="2"/>
    <d v="2016-03-30T13:51:00"/>
    <x v="230"/>
    <x v="1"/>
    <x v="360"/>
    <n v="13"/>
    <x v="1"/>
    <x v="1"/>
    <x v="0"/>
    <x v="0"/>
    <x v="2"/>
  </r>
  <r>
    <n v="930015"/>
    <x v="0"/>
    <x v="2"/>
    <n v="19"/>
    <x v="0"/>
    <d v="2016-03-31T08:09:00"/>
    <x v="231"/>
    <x v="10"/>
    <x v="361"/>
    <n v="8"/>
    <x v="5"/>
    <x v="1"/>
    <x v="0"/>
    <x v="3"/>
    <x v="1"/>
  </r>
  <r>
    <n v="930015"/>
    <x v="0"/>
    <x v="2"/>
    <n v="19"/>
    <x v="0"/>
    <d v="2016-03-30T15:22:00"/>
    <x v="232"/>
    <x v="1"/>
    <x v="362"/>
    <n v="15"/>
    <x v="1"/>
    <x v="1"/>
    <x v="0"/>
    <x v="3"/>
    <x v="2"/>
  </r>
  <r>
    <n v="930015"/>
    <x v="0"/>
    <x v="2"/>
    <n v="19"/>
    <x v="0"/>
    <d v="2016-03-29T21:33:00"/>
    <x v="32"/>
    <x v="1"/>
    <x v="363"/>
    <n v="21"/>
    <x v="3"/>
    <x v="1"/>
    <x v="0"/>
    <x v="3"/>
    <x v="0"/>
  </r>
  <r>
    <n v="1297586"/>
    <x v="0"/>
    <x v="2"/>
    <n v="53"/>
    <x v="4"/>
    <d v="2016-03-09T04:51:00"/>
    <x v="11"/>
    <x v="7"/>
    <x v="364"/>
    <n v="4"/>
    <x v="1"/>
    <x v="1"/>
    <x v="0"/>
    <x v="2"/>
    <x v="3"/>
  </r>
  <r>
    <n v="866195"/>
    <x v="0"/>
    <x v="3"/>
    <n v="32"/>
    <x v="3"/>
    <d v="2016-03-12T00:19:00"/>
    <x v="233"/>
    <x v="16"/>
    <x v="365"/>
    <n v="0"/>
    <x v="6"/>
    <x v="1"/>
    <x v="1"/>
    <x v="0"/>
    <x v="3"/>
  </r>
  <r>
    <n v="820398"/>
    <x v="0"/>
    <x v="4"/>
    <n v="28"/>
    <x v="4"/>
    <d v="2016-02-26T21:25:00"/>
    <x v="11"/>
    <x v="6"/>
    <x v="366"/>
    <n v="21"/>
    <x v="2"/>
    <x v="2"/>
    <x v="0"/>
    <x v="3"/>
    <x v="0"/>
  </r>
  <r>
    <n v="820398"/>
    <x v="0"/>
    <x v="4"/>
    <n v="28"/>
    <x v="4"/>
    <d v="2016-02-26T21:47:00"/>
    <x v="68"/>
    <x v="6"/>
    <x v="367"/>
    <n v="21"/>
    <x v="2"/>
    <x v="2"/>
    <x v="0"/>
    <x v="3"/>
    <x v="0"/>
  </r>
  <r>
    <n v="820398"/>
    <x v="0"/>
    <x v="4"/>
    <n v="28"/>
    <x v="4"/>
    <d v="2016-03-05T22:03:00"/>
    <x v="234"/>
    <x v="11"/>
    <x v="368"/>
    <n v="22"/>
    <x v="6"/>
    <x v="1"/>
    <x v="1"/>
    <x v="3"/>
    <x v="4"/>
  </r>
  <r>
    <n v="820398"/>
    <x v="0"/>
    <x v="4"/>
    <n v="28"/>
    <x v="4"/>
    <d v="2016-03-01T05:01:00"/>
    <x v="235"/>
    <x v="4"/>
    <x v="369"/>
    <n v="5"/>
    <x v="3"/>
    <x v="1"/>
    <x v="0"/>
    <x v="3"/>
    <x v="1"/>
  </r>
  <r>
    <n v="803542"/>
    <x v="0"/>
    <x v="2"/>
    <n v="36"/>
    <x v="4"/>
    <d v="2016-03-31T14:52:00"/>
    <x v="236"/>
    <x v="0"/>
    <x v="370"/>
    <n v="14"/>
    <x v="5"/>
    <x v="1"/>
    <x v="0"/>
    <x v="0"/>
    <x v="2"/>
  </r>
  <r>
    <n v="593622"/>
    <x v="2"/>
    <x v="4"/>
    <n v="27"/>
    <x v="2"/>
    <d v="2016-01-21T12:05:00"/>
    <x v="237"/>
    <x v="0"/>
    <x v="371"/>
    <n v="12"/>
    <x v="5"/>
    <x v="0"/>
    <x v="0"/>
    <x v="3"/>
    <x v="2"/>
  </r>
  <r>
    <n v="831755"/>
    <x v="0"/>
    <x v="4"/>
    <n v="30"/>
    <x v="2"/>
    <d v="2016-03-15T13:31:00"/>
    <x v="11"/>
    <x v="5"/>
    <x v="372"/>
    <n v="13"/>
    <x v="3"/>
    <x v="1"/>
    <x v="0"/>
    <x v="0"/>
    <x v="2"/>
  </r>
  <r>
    <n v="831755"/>
    <x v="0"/>
    <x v="4"/>
    <n v="30"/>
    <x v="2"/>
    <d v="2016-03-01T16:03:00"/>
    <x v="114"/>
    <x v="8"/>
    <x v="373"/>
    <n v="16"/>
    <x v="3"/>
    <x v="1"/>
    <x v="0"/>
    <x v="0"/>
    <x v="2"/>
  </r>
  <r>
    <n v="771848"/>
    <x v="0"/>
    <x v="4"/>
    <n v="28"/>
    <x v="2"/>
    <d v="2016-02-11T11:39:00"/>
    <x v="136"/>
    <x v="9"/>
    <x v="374"/>
    <n v="11"/>
    <x v="5"/>
    <x v="2"/>
    <x v="0"/>
    <x v="3"/>
    <x v="2"/>
  </r>
  <r>
    <n v="771848"/>
    <x v="0"/>
    <x v="4"/>
    <n v="28"/>
    <x v="2"/>
    <d v="2016-02-10T19:55:00"/>
    <x v="238"/>
    <x v="3"/>
    <x v="375"/>
    <n v="19"/>
    <x v="1"/>
    <x v="2"/>
    <x v="0"/>
    <x v="3"/>
    <x v="0"/>
  </r>
  <r>
    <n v="771848"/>
    <x v="0"/>
    <x v="4"/>
    <n v="28"/>
    <x v="2"/>
    <d v="2016-01-01T18:54:00"/>
    <x v="239"/>
    <x v="3"/>
    <x v="376"/>
    <n v="18"/>
    <x v="2"/>
    <x v="0"/>
    <x v="0"/>
    <x v="3"/>
    <x v="0"/>
  </r>
  <r>
    <n v="771848"/>
    <x v="0"/>
    <x v="4"/>
    <n v="28"/>
    <x v="2"/>
    <d v="2016-01-22T13:02:00"/>
    <x v="240"/>
    <x v="6"/>
    <x v="377"/>
    <n v="13"/>
    <x v="2"/>
    <x v="0"/>
    <x v="0"/>
    <x v="3"/>
    <x v="2"/>
  </r>
  <r>
    <n v="771848"/>
    <x v="0"/>
    <x v="4"/>
    <n v="28"/>
    <x v="2"/>
    <d v="2016-01-18T12:43:00"/>
    <x v="241"/>
    <x v="6"/>
    <x v="378"/>
    <n v="12"/>
    <x v="0"/>
    <x v="0"/>
    <x v="0"/>
    <x v="3"/>
    <x v="2"/>
  </r>
  <r>
    <n v="764355"/>
    <x v="0"/>
    <x v="3"/>
    <n v="24"/>
    <x v="2"/>
    <d v="2016-01-22T14:42:00"/>
    <x v="242"/>
    <x v="4"/>
    <x v="379"/>
    <n v="14"/>
    <x v="2"/>
    <x v="0"/>
    <x v="0"/>
    <x v="3"/>
    <x v="2"/>
  </r>
  <r>
    <n v="2255559"/>
    <x v="0"/>
    <x v="2"/>
    <n v="27"/>
    <x v="5"/>
    <d v="2016-03-28T13:22:00"/>
    <x v="145"/>
    <x v="6"/>
    <x v="380"/>
    <n v="13"/>
    <x v="0"/>
    <x v="1"/>
    <x v="0"/>
    <x v="3"/>
    <x v="2"/>
  </r>
  <r>
    <n v="2255559"/>
    <x v="0"/>
    <x v="2"/>
    <n v="27"/>
    <x v="5"/>
    <d v="2016-03-30T18:57:00"/>
    <x v="53"/>
    <x v="14"/>
    <x v="381"/>
    <n v="18"/>
    <x v="1"/>
    <x v="1"/>
    <x v="0"/>
    <x v="3"/>
    <x v="0"/>
  </r>
  <r>
    <n v="919180"/>
    <x v="0"/>
    <x v="0"/>
    <n v="36"/>
    <x v="0"/>
    <d v="2016-03-26T09:08:00"/>
    <x v="178"/>
    <x v="6"/>
    <x v="382"/>
    <n v="9"/>
    <x v="6"/>
    <x v="1"/>
    <x v="1"/>
    <x v="0"/>
    <x v="1"/>
  </r>
  <r>
    <n v="771849"/>
    <x v="0"/>
    <x v="1"/>
    <n v="55"/>
    <x v="2"/>
    <d v="2016-02-19T21:17:00"/>
    <x v="243"/>
    <x v="11"/>
    <x v="383"/>
    <n v="21"/>
    <x v="2"/>
    <x v="2"/>
    <x v="0"/>
    <x v="2"/>
    <x v="0"/>
  </r>
  <r>
    <n v="771849"/>
    <x v="0"/>
    <x v="1"/>
    <n v="55"/>
    <x v="2"/>
    <d v="2016-02-19T21:22:00"/>
    <x v="17"/>
    <x v="2"/>
    <x v="384"/>
    <n v="21"/>
    <x v="2"/>
    <x v="2"/>
    <x v="0"/>
    <x v="2"/>
    <x v="0"/>
  </r>
  <r>
    <n v="771849"/>
    <x v="0"/>
    <x v="1"/>
    <n v="55"/>
    <x v="2"/>
    <d v="2016-02-06T15:00:00"/>
    <x v="19"/>
    <x v="6"/>
    <x v="385"/>
    <n v="15"/>
    <x v="6"/>
    <x v="2"/>
    <x v="1"/>
    <x v="2"/>
    <x v="2"/>
  </r>
  <r>
    <n v="808979"/>
    <x v="2"/>
    <x v="3"/>
    <n v="26"/>
    <x v="7"/>
    <d v="2016-02-22T19:30:00"/>
    <x v="244"/>
    <x v="8"/>
    <x v="386"/>
    <n v="19"/>
    <x v="0"/>
    <x v="2"/>
    <x v="0"/>
    <x v="3"/>
    <x v="0"/>
  </r>
  <r>
    <n v="866197"/>
    <x v="2"/>
    <x v="0"/>
    <n v="10"/>
    <x v="4"/>
    <d v="2016-03-11T17:13:00"/>
    <x v="245"/>
    <x v="0"/>
    <x v="387"/>
    <n v="17"/>
    <x v="2"/>
    <x v="1"/>
    <x v="0"/>
    <x v="1"/>
    <x v="0"/>
  </r>
  <r>
    <n v="777084"/>
    <x v="0"/>
    <x v="4"/>
    <n v="28"/>
    <x v="8"/>
    <d v="2016-02-06T16:08:00"/>
    <x v="11"/>
    <x v="6"/>
    <x v="388"/>
    <n v="16"/>
    <x v="6"/>
    <x v="2"/>
    <x v="1"/>
    <x v="3"/>
    <x v="2"/>
  </r>
  <r>
    <n v="621621"/>
    <x v="0"/>
    <x v="4"/>
    <n v="23"/>
    <x v="2"/>
    <d v="2016-01-17T15:21:00"/>
    <x v="66"/>
    <x v="2"/>
    <x v="389"/>
    <n v="15"/>
    <x v="4"/>
    <x v="0"/>
    <x v="1"/>
    <x v="3"/>
    <x v="2"/>
  </r>
  <r>
    <n v="808983"/>
    <x v="0"/>
    <x v="0"/>
    <n v="45"/>
    <x v="0"/>
    <d v="2016-02-15T20:41:00"/>
    <x v="246"/>
    <x v="12"/>
    <x v="390"/>
    <n v="20"/>
    <x v="0"/>
    <x v="2"/>
    <x v="0"/>
    <x v="4"/>
    <x v="0"/>
  </r>
  <r>
    <n v="772142"/>
    <x v="0"/>
    <x v="2"/>
    <n v="32"/>
    <x v="0"/>
    <d v="2016-03-10T20:10:00"/>
    <x v="241"/>
    <x v="3"/>
    <x v="391"/>
    <n v="20"/>
    <x v="5"/>
    <x v="1"/>
    <x v="0"/>
    <x v="0"/>
    <x v="0"/>
  </r>
  <r>
    <n v="808983"/>
    <x v="0"/>
    <x v="0"/>
    <n v="45"/>
    <x v="0"/>
    <d v="2016-02-13T19:34:00"/>
    <x v="11"/>
    <x v="6"/>
    <x v="392"/>
    <n v="19"/>
    <x v="6"/>
    <x v="2"/>
    <x v="1"/>
    <x v="4"/>
    <x v="0"/>
  </r>
  <r>
    <n v="771003"/>
    <x v="0"/>
    <x v="0"/>
    <n v="31"/>
    <x v="0"/>
    <d v="2016-02-26T11:17:00"/>
    <x v="103"/>
    <x v="1"/>
    <x v="393"/>
    <n v="11"/>
    <x v="2"/>
    <x v="2"/>
    <x v="0"/>
    <x v="0"/>
    <x v="2"/>
  </r>
  <r>
    <n v="771003"/>
    <x v="0"/>
    <x v="0"/>
    <n v="31"/>
    <x v="0"/>
    <d v="2016-02-26T14:11:00"/>
    <x v="62"/>
    <x v="5"/>
    <x v="394"/>
    <n v="14"/>
    <x v="2"/>
    <x v="2"/>
    <x v="0"/>
    <x v="0"/>
    <x v="2"/>
  </r>
  <r>
    <n v="771003"/>
    <x v="0"/>
    <x v="0"/>
    <n v="31"/>
    <x v="0"/>
    <d v="2016-02-27T16:24:00"/>
    <x v="2"/>
    <x v="2"/>
    <x v="395"/>
    <n v="16"/>
    <x v="6"/>
    <x v="2"/>
    <x v="1"/>
    <x v="0"/>
    <x v="2"/>
  </r>
  <r>
    <n v="808984"/>
    <x v="0"/>
    <x v="0"/>
    <n v="42"/>
    <x v="0"/>
    <d v="2016-02-19T15:58:00"/>
    <x v="162"/>
    <x v="10"/>
    <x v="396"/>
    <n v="15"/>
    <x v="2"/>
    <x v="2"/>
    <x v="0"/>
    <x v="4"/>
    <x v="2"/>
  </r>
  <r>
    <n v="771855"/>
    <x v="2"/>
    <x v="4"/>
    <n v="45"/>
    <x v="8"/>
    <d v="2016-02-19T01:15:00"/>
    <x v="247"/>
    <x v="11"/>
    <x v="397"/>
    <n v="1"/>
    <x v="2"/>
    <x v="2"/>
    <x v="0"/>
    <x v="4"/>
    <x v="3"/>
  </r>
  <r>
    <n v="733281"/>
    <x v="0"/>
    <x v="4"/>
    <n v="35"/>
    <x v="2"/>
    <d v="2016-01-26T16:09:00"/>
    <x v="9"/>
    <x v="0"/>
    <x v="398"/>
    <n v="16"/>
    <x v="3"/>
    <x v="0"/>
    <x v="0"/>
    <x v="0"/>
    <x v="2"/>
  </r>
  <r>
    <n v="892523"/>
    <x v="0"/>
    <x v="0"/>
    <n v="29"/>
    <x v="6"/>
    <d v="2016-03-18T13:20:00"/>
    <x v="2"/>
    <x v="11"/>
    <x v="399"/>
    <n v="13"/>
    <x v="2"/>
    <x v="1"/>
    <x v="0"/>
    <x v="0"/>
    <x v="2"/>
  </r>
  <r>
    <n v="892523"/>
    <x v="0"/>
    <x v="0"/>
    <n v="29"/>
    <x v="6"/>
    <d v="2016-03-19T11:08:00"/>
    <x v="248"/>
    <x v="11"/>
    <x v="400"/>
    <n v="11"/>
    <x v="6"/>
    <x v="1"/>
    <x v="1"/>
    <x v="0"/>
    <x v="2"/>
  </r>
  <r>
    <n v="892523"/>
    <x v="0"/>
    <x v="0"/>
    <n v="29"/>
    <x v="6"/>
    <d v="2016-03-16T10:37:00"/>
    <x v="35"/>
    <x v="1"/>
    <x v="401"/>
    <n v="10"/>
    <x v="1"/>
    <x v="1"/>
    <x v="0"/>
    <x v="0"/>
    <x v="1"/>
  </r>
  <r>
    <n v="892523"/>
    <x v="0"/>
    <x v="0"/>
    <n v="29"/>
    <x v="6"/>
    <d v="2016-03-27T11:01:00"/>
    <x v="11"/>
    <x v="11"/>
    <x v="402"/>
    <n v="11"/>
    <x v="4"/>
    <x v="1"/>
    <x v="1"/>
    <x v="0"/>
    <x v="2"/>
  </r>
  <r>
    <n v="892523"/>
    <x v="0"/>
    <x v="0"/>
    <n v="29"/>
    <x v="6"/>
    <d v="2016-03-27T20:22:00"/>
    <x v="249"/>
    <x v="0"/>
    <x v="403"/>
    <n v="20"/>
    <x v="4"/>
    <x v="1"/>
    <x v="1"/>
    <x v="0"/>
    <x v="0"/>
  </r>
  <r>
    <n v="892523"/>
    <x v="0"/>
    <x v="0"/>
    <n v="29"/>
    <x v="6"/>
    <d v="2016-03-26T10:30:00"/>
    <x v="250"/>
    <x v="5"/>
    <x v="404"/>
    <n v="10"/>
    <x v="6"/>
    <x v="1"/>
    <x v="1"/>
    <x v="0"/>
    <x v="1"/>
  </r>
  <r>
    <n v="892523"/>
    <x v="0"/>
    <x v="0"/>
    <n v="29"/>
    <x v="6"/>
    <d v="2016-03-21T05:30:00"/>
    <x v="251"/>
    <x v="0"/>
    <x v="405"/>
    <n v="5"/>
    <x v="0"/>
    <x v="1"/>
    <x v="0"/>
    <x v="0"/>
    <x v="1"/>
  </r>
  <r>
    <n v="892523"/>
    <x v="0"/>
    <x v="0"/>
    <n v="29"/>
    <x v="6"/>
    <d v="2016-03-21T08:50:00"/>
    <x v="188"/>
    <x v="0"/>
    <x v="406"/>
    <n v="8"/>
    <x v="0"/>
    <x v="1"/>
    <x v="0"/>
    <x v="0"/>
    <x v="1"/>
  </r>
  <r>
    <n v="892523"/>
    <x v="0"/>
    <x v="0"/>
    <n v="29"/>
    <x v="6"/>
    <d v="2016-03-21T18:23:00"/>
    <x v="223"/>
    <x v="11"/>
    <x v="407"/>
    <n v="18"/>
    <x v="0"/>
    <x v="1"/>
    <x v="0"/>
    <x v="0"/>
    <x v="0"/>
  </r>
  <r>
    <n v="771856"/>
    <x v="0"/>
    <x v="1"/>
    <n v="24"/>
    <x v="4"/>
    <d v="2016-02-06T09:28:00"/>
    <x v="183"/>
    <x v="0"/>
    <x v="408"/>
    <n v="9"/>
    <x v="6"/>
    <x v="2"/>
    <x v="1"/>
    <x v="3"/>
    <x v="1"/>
  </r>
  <r>
    <n v="808988"/>
    <x v="0"/>
    <x v="4"/>
    <n v="34"/>
    <x v="2"/>
    <d v="2016-02-20T13:41:00"/>
    <x v="128"/>
    <x v="12"/>
    <x v="409"/>
    <n v="13"/>
    <x v="6"/>
    <x v="2"/>
    <x v="1"/>
    <x v="0"/>
    <x v="2"/>
  </r>
  <r>
    <n v="808988"/>
    <x v="0"/>
    <x v="4"/>
    <n v="34"/>
    <x v="2"/>
    <d v="2016-02-20T15:48:00"/>
    <x v="197"/>
    <x v="6"/>
    <x v="410"/>
    <n v="15"/>
    <x v="6"/>
    <x v="2"/>
    <x v="1"/>
    <x v="0"/>
    <x v="2"/>
  </r>
  <r>
    <n v="808988"/>
    <x v="0"/>
    <x v="4"/>
    <n v="34"/>
    <x v="2"/>
    <d v="2016-02-20T22:02:00"/>
    <x v="252"/>
    <x v="4"/>
    <x v="411"/>
    <n v="22"/>
    <x v="6"/>
    <x v="2"/>
    <x v="1"/>
    <x v="0"/>
    <x v="4"/>
  </r>
  <r>
    <n v="808988"/>
    <x v="0"/>
    <x v="4"/>
    <n v="34"/>
    <x v="2"/>
    <d v="2016-02-20T22:04:00"/>
    <x v="242"/>
    <x v="12"/>
    <x v="412"/>
    <n v="22"/>
    <x v="6"/>
    <x v="2"/>
    <x v="1"/>
    <x v="0"/>
    <x v="4"/>
  </r>
  <r>
    <n v="730254"/>
    <x v="0"/>
    <x v="4"/>
    <n v="26"/>
    <x v="2"/>
    <d v="2016-01-21T09:02:00"/>
    <x v="253"/>
    <x v="4"/>
    <x v="413"/>
    <n v="9"/>
    <x v="5"/>
    <x v="0"/>
    <x v="0"/>
    <x v="3"/>
    <x v="1"/>
  </r>
  <r>
    <n v="771858"/>
    <x v="0"/>
    <x v="3"/>
    <n v="27"/>
    <x v="2"/>
    <d v="2016-03-05T11:37:00"/>
    <x v="138"/>
    <x v="6"/>
    <x v="414"/>
    <n v="11"/>
    <x v="6"/>
    <x v="1"/>
    <x v="1"/>
    <x v="3"/>
    <x v="2"/>
  </r>
  <r>
    <n v="866202"/>
    <x v="0"/>
    <x v="2"/>
    <n v="24"/>
    <x v="2"/>
    <d v="2016-03-16T11:31:00"/>
    <x v="158"/>
    <x v="1"/>
    <x v="415"/>
    <n v="11"/>
    <x v="1"/>
    <x v="1"/>
    <x v="0"/>
    <x v="3"/>
    <x v="2"/>
  </r>
  <r>
    <n v="808990"/>
    <x v="0"/>
    <x v="0"/>
    <n v="39"/>
    <x v="0"/>
    <d v="2016-02-24T08:47:00"/>
    <x v="144"/>
    <x v="1"/>
    <x v="416"/>
    <n v="8"/>
    <x v="1"/>
    <x v="2"/>
    <x v="0"/>
    <x v="4"/>
    <x v="1"/>
  </r>
  <r>
    <n v="2090526"/>
    <x v="0"/>
    <x v="4"/>
    <n v="52"/>
    <x v="5"/>
    <d v="2016-02-21T18:18:00"/>
    <x v="203"/>
    <x v="11"/>
    <x v="417"/>
    <n v="18"/>
    <x v="4"/>
    <x v="2"/>
    <x v="1"/>
    <x v="2"/>
    <x v="0"/>
  </r>
  <r>
    <n v="2090526"/>
    <x v="0"/>
    <x v="4"/>
    <n v="52"/>
    <x v="5"/>
    <d v="2016-02-14T11:54:00"/>
    <x v="48"/>
    <x v="11"/>
    <x v="418"/>
    <n v="11"/>
    <x v="4"/>
    <x v="2"/>
    <x v="1"/>
    <x v="2"/>
    <x v="2"/>
  </r>
  <r>
    <n v="2090526"/>
    <x v="0"/>
    <x v="4"/>
    <n v="52"/>
    <x v="5"/>
    <d v="2016-03-24T01:41:00"/>
    <x v="254"/>
    <x v="11"/>
    <x v="419"/>
    <n v="1"/>
    <x v="5"/>
    <x v="1"/>
    <x v="0"/>
    <x v="2"/>
    <x v="3"/>
  </r>
  <r>
    <n v="2090526"/>
    <x v="0"/>
    <x v="4"/>
    <n v="52"/>
    <x v="5"/>
    <d v="2016-01-23T06:03:00"/>
    <x v="255"/>
    <x v="3"/>
    <x v="420"/>
    <n v="6"/>
    <x v="6"/>
    <x v="0"/>
    <x v="1"/>
    <x v="2"/>
    <x v="1"/>
  </r>
  <r>
    <n v="2090526"/>
    <x v="0"/>
    <x v="4"/>
    <n v="52"/>
    <x v="5"/>
    <d v="2016-03-04T21:35:00"/>
    <x v="256"/>
    <x v="11"/>
    <x v="421"/>
    <n v="21"/>
    <x v="2"/>
    <x v="1"/>
    <x v="0"/>
    <x v="2"/>
    <x v="0"/>
  </r>
  <r>
    <n v="2090526"/>
    <x v="0"/>
    <x v="4"/>
    <n v="52"/>
    <x v="5"/>
    <d v="2016-01-30T11:41:00"/>
    <x v="53"/>
    <x v="11"/>
    <x v="422"/>
    <n v="11"/>
    <x v="6"/>
    <x v="0"/>
    <x v="1"/>
    <x v="2"/>
    <x v="2"/>
  </r>
  <r>
    <n v="2090526"/>
    <x v="0"/>
    <x v="4"/>
    <n v="52"/>
    <x v="5"/>
    <d v="2016-01-28T20:21:00"/>
    <x v="257"/>
    <x v="11"/>
    <x v="423"/>
    <n v="20"/>
    <x v="5"/>
    <x v="0"/>
    <x v="0"/>
    <x v="2"/>
    <x v="0"/>
  </r>
  <r>
    <n v="2090526"/>
    <x v="0"/>
    <x v="4"/>
    <n v="52"/>
    <x v="5"/>
    <d v="2016-01-17T07:44:00"/>
    <x v="176"/>
    <x v="11"/>
    <x v="424"/>
    <n v="7"/>
    <x v="4"/>
    <x v="0"/>
    <x v="1"/>
    <x v="2"/>
    <x v="1"/>
  </r>
  <r>
    <n v="2090526"/>
    <x v="0"/>
    <x v="4"/>
    <n v="52"/>
    <x v="5"/>
    <d v="2016-03-07T10:18:00"/>
    <x v="15"/>
    <x v="3"/>
    <x v="425"/>
    <n v="10"/>
    <x v="0"/>
    <x v="1"/>
    <x v="0"/>
    <x v="2"/>
    <x v="1"/>
  </r>
  <r>
    <n v="939659"/>
    <x v="0"/>
    <x v="4"/>
    <n v="21"/>
    <x v="6"/>
    <d v="2016-03-19T19:09:00"/>
    <x v="258"/>
    <x v="11"/>
    <x v="426"/>
    <n v="19"/>
    <x v="6"/>
    <x v="1"/>
    <x v="1"/>
    <x v="3"/>
    <x v="0"/>
  </r>
  <r>
    <n v="939659"/>
    <x v="0"/>
    <x v="4"/>
    <n v="21"/>
    <x v="6"/>
    <d v="2016-03-19T19:11:00"/>
    <x v="145"/>
    <x v="7"/>
    <x v="427"/>
    <n v="19"/>
    <x v="6"/>
    <x v="1"/>
    <x v="1"/>
    <x v="3"/>
    <x v="0"/>
  </r>
  <r>
    <n v="939659"/>
    <x v="0"/>
    <x v="4"/>
    <n v="21"/>
    <x v="6"/>
    <d v="2016-03-31T17:51:00"/>
    <x v="259"/>
    <x v="0"/>
    <x v="428"/>
    <n v="17"/>
    <x v="5"/>
    <x v="1"/>
    <x v="0"/>
    <x v="3"/>
    <x v="0"/>
  </r>
  <r>
    <n v="939659"/>
    <x v="0"/>
    <x v="4"/>
    <n v="21"/>
    <x v="6"/>
    <d v="2016-03-20T13:51:00"/>
    <x v="260"/>
    <x v="0"/>
    <x v="429"/>
    <n v="13"/>
    <x v="4"/>
    <x v="1"/>
    <x v="1"/>
    <x v="3"/>
    <x v="2"/>
  </r>
  <r>
    <n v="939659"/>
    <x v="0"/>
    <x v="4"/>
    <n v="21"/>
    <x v="6"/>
    <d v="2016-03-20T17:23:00"/>
    <x v="182"/>
    <x v="5"/>
    <x v="430"/>
    <n v="17"/>
    <x v="4"/>
    <x v="1"/>
    <x v="1"/>
    <x v="3"/>
    <x v="0"/>
  </r>
  <r>
    <n v="939659"/>
    <x v="0"/>
    <x v="4"/>
    <n v="21"/>
    <x v="6"/>
    <d v="2016-03-28T16:19:00"/>
    <x v="138"/>
    <x v="11"/>
    <x v="431"/>
    <n v="16"/>
    <x v="0"/>
    <x v="1"/>
    <x v="0"/>
    <x v="3"/>
    <x v="2"/>
  </r>
  <r>
    <n v="939659"/>
    <x v="0"/>
    <x v="4"/>
    <n v="21"/>
    <x v="6"/>
    <d v="2016-03-28T10:45:00"/>
    <x v="11"/>
    <x v="1"/>
    <x v="432"/>
    <n v="10"/>
    <x v="0"/>
    <x v="1"/>
    <x v="0"/>
    <x v="3"/>
    <x v="1"/>
  </r>
  <r>
    <n v="939659"/>
    <x v="0"/>
    <x v="4"/>
    <n v="21"/>
    <x v="6"/>
    <d v="2016-03-30T11:30:00"/>
    <x v="186"/>
    <x v="6"/>
    <x v="433"/>
    <n v="11"/>
    <x v="1"/>
    <x v="1"/>
    <x v="0"/>
    <x v="3"/>
    <x v="2"/>
  </r>
  <r>
    <n v="939659"/>
    <x v="0"/>
    <x v="4"/>
    <n v="21"/>
    <x v="6"/>
    <d v="2016-03-24T06:57:00"/>
    <x v="129"/>
    <x v="4"/>
    <x v="434"/>
    <n v="6"/>
    <x v="5"/>
    <x v="1"/>
    <x v="0"/>
    <x v="3"/>
    <x v="1"/>
  </r>
  <r>
    <n v="939659"/>
    <x v="0"/>
    <x v="4"/>
    <n v="21"/>
    <x v="6"/>
    <d v="2016-03-21T07:30:00"/>
    <x v="261"/>
    <x v="4"/>
    <x v="435"/>
    <n v="7"/>
    <x v="0"/>
    <x v="1"/>
    <x v="0"/>
    <x v="3"/>
    <x v="1"/>
  </r>
  <r>
    <n v="778615"/>
    <x v="1"/>
    <x v="1"/>
    <n v="0"/>
    <x v="1"/>
    <d v="2016-03-12T15:45:00"/>
    <x v="189"/>
    <x v="4"/>
    <x v="436"/>
    <n v="15"/>
    <x v="6"/>
    <x v="1"/>
    <x v="1"/>
    <x v="1"/>
    <x v="2"/>
  </r>
  <r>
    <n v="866205"/>
    <x v="0"/>
    <x v="2"/>
    <n v="36"/>
    <x v="2"/>
    <d v="2016-03-14T08:49:00"/>
    <x v="262"/>
    <x v="6"/>
    <x v="437"/>
    <n v="8"/>
    <x v="0"/>
    <x v="1"/>
    <x v="0"/>
    <x v="0"/>
    <x v="1"/>
  </r>
  <r>
    <n v="866205"/>
    <x v="0"/>
    <x v="2"/>
    <n v="36"/>
    <x v="2"/>
    <d v="2016-03-15T09:50:00"/>
    <x v="263"/>
    <x v="1"/>
    <x v="438"/>
    <n v="9"/>
    <x v="3"/>
    <x v="1"/>
    <x v="0"/>
    <x v="0"/>
    <x v="1"/>
  </r>
  <r>
    <n v="866205"/>
    <x v="0"/>
    <x v="2"/>
    <n v="36"/>
    <x v="2"/>
    <d v="2016-03-12T16:05:00"/>
    <x v="264"/>
    <x v="1"/>
    <x v="439"/>
    <n v="16"/>
    <x v="6"/>
    <x v="1"/>
    <x v="1"/>
    <x v="0"/>
    <x v="2"/>
  </r>
  <r>
    <n v="771867"/>
    <x v="0"/>
    <x v="4"/>
    <n v="14"/>
    <x v="2"/>
    <d v="2016-02-05T05:40:00"/>
    <x v="265"/>
    <x v="12"/>
    <x v="440"/>
    <n v="5"/>
    <x v="2"/>
    <x v="2"/>
    <x v="0"/>
    <x v="1"/>
    <x v="1"/>
  </r>
  <r>
    <n v="771867"/>
    <x v="0"/>
    <x v="4"/>
    <n v="14"/>
    <x v="2"/>
    <d v="2016-03-01T22:04:00"/>
    <x v="266"/>
    <x v="0"/>
    <x v="441"/>
    <n v="22"/>
    <x v="3"/>
    <x v="1"/>
    <x v="0"/>
    <x v="1"/>
    <x v="4"/>
  </r>
  <r>
    <n v="771867"/>
    <x v="0"/>
    <x v="4"/>
    <n v="14"/>
    <x v="2"/>
    <d v="2016-03-13T07:08:00"/>
    <x v="267"/>
    <x v="14"/>
    <x v="442"/>
    <n v="7"/>
    <x v="4"/>
    <x v="1"/>
    <x v="1"/>
    <x v="1"/>
    <x v="1"/>
  </r>
  <r>
    <n v="771867"/>
    <x v="0"/>
    <x v="4"/>
    <n v="14"/>
    <x v="2"/>
    <d v="2016-03-13T21:05:00"/>
    <x v="11"/>
    <x v="6"/>
    <x v="443"/>
    <n v="21"/>
    <x v="4"/>
    <x v="1"/>
    <x v="1"/>
    <x v="1"/>
    <x v="0"/>
  </r>
  <r>
    <n v="771867"/>
    <x v="0"/>
    <x v="4"/>
    <n v="14"/>
    <x v="2"/>
    <d v="2016-01-31T16:42:00"/>
    <x v="176"/>
    <x v="7"/>
    <x v="444"/>
    <n v="16"/>
    <x v="4"/>
    <x v="0"/>
    <x v="1"/>
    <x v="1"/>
    <x v="2"/>
  </r>
  <r>
    <n v="771867"/>
    <x v="0"/>
    <x v="4"/>
    <n v="14"/>
    <x v="2"/>
    <d v="2016-01-17T16:56:00"/>
    <x v="2"/>
    <x v="12"/>
    <x v="445"/>
    <n v="16"/>
    <x v="4"/>
    <x v="0"/>
    <x v="1"/>
    <x v="1"/>
    <x v="2"/>
  </r>
  <r>
    <n v="771867"/>
    <x v="0"/>
    <x v="4"/>
    <n v="14"/>
    <x v="2"/>
    <d v="2016-01-22T14:14:00"/>
    <x v="268"/>
    <x v="6"/>
    <x v="446"/>
    <n v="14"/>
    <x v="2"/>
    <x v="0"/>
    <x v="0"/>
    <x v="1"/>
    <x v="2"/>
  </r>
  <r>
    <n v="771867"/>
    <x v="0"/>
    <x v="4"/>
    <n v="14"/>
    <x v="2"/>
    <d v="2016-01-30T19:20:00"/>
    <x v="179"/>
    <x v="11"/>
    <x v="447"/>
    <n v="19"/>
    <x v="6"/>
    <x v="0"/>
    <x v="1"/>
    <x v="1"/>
    <x v="0"/>
  </r>
  <r>
    <n v="771867"/>
    <x v="0"/>
    <x v="4"/>
    <n v="14"/>
    <x v="2"/>
    <d v="2016-01-18T16:12:00"/>
    <x v="269"/>
    <x v="11"/>
    <x v="448"/>
    <n v="16"/>
    <x v="0"/>
    <x v="0"/>
    <x v="0"/>
    <x v="1"/>
    <x v="2"/>
  </r>
  <r>
    <n v="771867"/>
    <x v="0"/>
    <x v="4"/>
    <n v="14"/>
    <x v="2"/>
    <d v="2016-03-31T17:57:00"/>
    <x v="41"/>
    <x v="11"/>
    <x v="449"/>
    <n v="17"/>
    <x v="5"/>
    <x v="1"/>
    <x v="0"/>
    <x v="1"/>
    <x v="0"/>
  </r>
  <r>
    <n v="809337"/>
    <x v="0"/>
    <x v="0"/>
    <n v="21"/>
    <x v="2"/>
    <d v="2016-02-13T00:19:00"/>
    <x v="146"/>
    <x v="3"/>
    <x v="450"/>
    <n v="0"/>
    <x v="6"/>
    <x v="2"/>
    <x v="1"/>
    <x v="3"/>
    <x v="3"/>
  </r>
  <r>
    <n v="779442"/>
    <x v="2"/>
    <x v="4"/>
    <n v="31"/>
    <x v="7"/>
    <d v="2016-01-18T21:54:00"/>
    <x v="11"/>
    <x v="15"/>
    <x v="451"/>
    <n v="21"/>
    <x v="0"/>
    <x v="0"/>
    <x v="0"/>
    <x v="0"/>
    <x v="0"/>
  </r>
  <r>
    <n v="779442"/>
    <x v="2"/>
    <x v="4"/>
    <n v="31"/>
    <x v="7"/>
    <d v="2016-01-18T22:04:00"/>
    <x v="2"/>
    <x v="4"/>
    <x v="452"/>
    <n v="22"/>
    <x v="0"/>
    <x v="0"/>
    <x v="0"/>
    <x v="0"/>
    <x v="4"/>
  </r>
  <r>
    <n v="779442"/>
    <x v="2"/>
    <x v="4"/>
    <n v="31"/>
    <x v="7"/>
    <d v="2016-01-22T14:13:00"/>
    <x v="270"/>
    <x v="4"/>
    <x v="453"/>
    <n v="14"/>
    <x v="2"/>
    <x v="0"/>
    <x v="0"/>
    <x v="0"/>
    <x v="2"/>
  </r>
  <r>
    <n v="939662"/>
    <x v="0"/>
    <x v="4"/>
    <n v="23"/>
    <x v="5"/>
    <d v="2016-03-30T12:48:00"/>
    <x v="271"/>
    <x v="1"/>
    <x v="454"/>
    <n v="12"/>
    <x v="1"/>
    <x v="1"/>
    <x v="0"/>
    <x v="3"/>
    <x v="2"/>
  </r>
  <r>
    <n v="2359724"/>
    <x v="0"/>
    <x v="0"/>
    <n v="36"/>
    <x v="0"/>
    <d v="2016-02-21T09:10:00"/>
    <x v="173"/>
    <x v="1"/>
    <x v="455"/>
    <n v="9"/>
    <x v="4"/>
    <x v="2"/>
    <x v="1"/>
    <x v="0"/>
    <x v="1"/>
  </r>
  <r>
    <n v="2359724"/>
    <x v="0"/>
    <x v="0"/>
    <n v="36"/>
    <x v="0"/>
    <d v="2016-02-26T11:53:00"/>
    <x v="11"/>
    <x v="1"/>
    <x v="456"/>
    <n v="11"/>
    <x v="2"/>
    <x v="2"/>
    <x v="0"/>
    <x v="0"/>
    <x v="2"/>
  </r>
  <r>
    <n v="2359724"/>
    <x v="0"/>
    <x v="0"/>
    <n v="36"/>
    <x v="0"/>
    <d v="2016-02-26T14:01:00"/>
    <x v="185"/>
    <x v="1"/>
    <x v="457"/>
    <n v="14"/>
    <x v="2"/>
    <x v="2"/>
    <x v="0"/>
    <x v="0"/>
    <x v="2"/>
  </r>
  <r>
    <n v="2359724"/>
    <x v="0"/>
    <x v="0"/>
    <n v="36"/>
    <x v="0"/>
    <d v="2016-03-24T16:51:00"/>
    <x v="272"/>
    <x v="6"/>
    <x v="458"/>
    <n v="16"/>
    <x v="5"/>
    <x v="1"/>
    <x v="0"/>
    <x v="0"/>
    <x v="2"/>
  </r>
  <r>
    <n v="2359724"/>
    <x v="0"/>
    <x v="0"/>
    <n v="36"/>
    <x v="0"/>
    <d v="2016-03-19T12:05:00"/>
    <x v="273"/>
    <x v="7"/>
    <x v="459"/>
    <n v="12"/>
    <x v="6"/>
    <x v="1"/>
    <x v="1"/>
    <x v="0"/>
    <x v="2"/>
  </r>
  <r>
    <n v="2359724"/>
    <x v="0"/>
    <x v="0"/>
    <n v="36"/>
    <x v="0"/>
    <d v="2016-02-28T10:24:00"/>
    <x v="239"/>
    <x v="1"/>
    <x v="460"/>
    <n v="10"/>
    <x v="4"/>
    <x v="2"/>
    <x v="1"/>
    <x v="0"/>
    <x v="1"/>
  </r>
  <r>
    <n v="2359724"/>
    <x v="0"/>
    <x v="0"/>
    <n v="36"/>
    <x v="0"/>
    <d v="2016-03-01T16:28:00"/>
    <x v="8"/>
    <x v="1"/>
    <x v="461"/>
    <n v="16"/>
    <x v="3"/>
    <x v="1"/>
    <x v="0"/>
    <x v="0"/>
    <x v="2"/>
  </r>
  <r>
    <n v="2359724"/>
    <x v="0"/>
    <x v="0"/>
    <n v="36"/>
    <x v="0"/>
    <d v="2016-02-13T17:53:00"/>
    <x v="274"/>
    <x v="6"/>
    <x v="462"/>
    <n v="17"/>
    <x v="6"/>
    <x v="2"/>
    <x v="1"/>
    <x v="0"/>
    <x v="0"/>
  </r>
  <r>
    <n v="2359724"/>
    <x v="0"/>
    <x v="0"/>
    <n v="36"/>
    <x v="0"/>
    <d v="2016-02-13T17:56:00"/>
    <x v="29"/>
    <x v="6"/>
    <x v="463"/>
    <n v="17"/>
    <x v="6"/>
    <x v="2"/>
    <x v="1"/>
    <x v="0"/>
    <x v="0"/>
  </r>
  <r>
    <n v="904173"/>
    <x v="2"/>
    <x v="4"/>
    <n v="29"/>
    <x v="5"/>
    <d v="2016-03-25T08:20:00"/>
    <x v="275"/>
    <x v="6"/>
    <x v="464"/>
    <n v="8"/>
    <x v="2"/>
    <x v="1"/>
    <x v="0"/>
    <x v="0"/>
    <x v="1"/>
  </r>
  <r>
    <n v="904174"/>
    <x v="0"/>
    <x v="2"/>
    <n v="30"/>
    <x v="6"/>
    <d v="2016-03-26T12:38:00"/>
    <x v="11"/>
    <x v="5"/>
    <x v="465"/>
    <n v="12"/>
    <x v="6"/>
    <x v="1"/>
    <x v="1"/>
    <x v="0"/>
    <x v="2"/>
  </r>
  <r>
    <n v="904174"/>
    <x v="0"/>
    <x v="2"/>
    <n v="30"/>
    <x v="6"/>
    <d v="2016-03-29T16:58:00"/>
    <x v="229"/>
    <x v="1"/>
    <x v="466"/>
    <n v="16"/>
    <x v="3"/>
    <x v="1"/>
    <x v="0"/>
    <x v="0"/>
    <x v="2"/>
  </r>
  <r>
    <n v="831766"/>
    <x v="0"/>
    <x v="4"/>
    <n v="29"/>
    <x v="2"/>
    <d v="2016-03-03T15:46:00"/>
    <x v="276"/>
    <x v="4"/>
    <x v="467"/>
    <n v="15"/>
    <x v="5"/>
    <x v="1"/>
    <x v="0"/>
    <x v="0"/>
    <x v="2"/>
  </r>
  <r>
    <n v="831766"/>
    <x v="0"/>
    <x v="4"/>
    <n v="29"/>
    <x v="2"/>
    <d v="2016-03-05T19:35:00"/>
    <x v="277"/>
    <x v="11"/>
    <x v="468"/>
    <n v="19"/>
    <x v="6"/>
    <x v="1"/>
    <x v="1"/>
    <x v="0"/>
    <x v="0"/>
  </r>
  <r>
    <n v="808997"/>
    <x v="0"/>
    <x v="4"/>
    <n v="27"/>
    <x v="6"/>
    <d v="2016-02-19T10:41:00"/>
    <x v="259"/>
    <x v="0"/>
    <x v="469"/>
    <n v="10"/>
    <x v="2"/>
    <x v="2"/>
    <x v="0"/>
    <x v="3"/>
    <x v="1"/>
  </r>
  <r>
    <n v="808997"/>
    <x v="0"/>
    <x v="4"/>
    <n v="27"/>
    <x v="6"/>
    <d v="2016-02-19T18:27:00"/>
    <x v="11"/>
    <x v="4"/>
    <x v="470"/>
    <n v="18"/>
    <x v="2"/>
    <x v="2"/>
    <x v="0"/>
    <x v="3"/>
    <x v="0"/>
  </r>
  <r>
    <n v="808997"/>
    <x v="0"/>
    <x v="4"/>
    <n v="27"/>
    <x v="6"/>
    <d v="2016-03-22T04:33:00"/>
    <x v="278"/>
    <x v="4"/>
    <x v="471"/>
    <n v="4"/>
    <x v="3"/>
    <x v="1"/>
    <x v="0"/>
    <x v="3"/>
    <x v="3"/>
  </r>
  <r>
    <n v="808997"/>
    <x v="0"/>
    <x v="4"/>
    <n v="27"/>
    <x v="6"/>
    <d v="2016-02-25T05:24:00"/>
    <x v="279"/>
    <x v="4"/>
    <x v="472"/>
    <n v="5"/>
    <x v="5"/>
    <x v="2"/>
    <x v="0"/>
    <x v="3"/>
    <x v="1"/>
  </r>
  <r>
    <n v="808997"/>
    <x v="0"/>
    <x v="4"/>
    <n v="27"/>
    <x v="6"/>
    <d v="2016-01-27T06:12:00"/>
    <x v="17"/>
    <x v="4"/>
    <x v="473"/>
    <n v="6"/>
    <x v="1"/>
    <x v="0"/>
    <x v="0"/>
    <x v="3"/>
    <x v="1"/>
  </r>
  <r>
    <n v="808997"/>
    <x v="0"/>
    <x v="4"/>
    <n v="27"/>
    <x v="6"/>
    <d v="2016-02-01T04:54:00"/>
    <x v="156"/>
    <x v="4"/>
    <x v="474"/>
    <n v="4"/>
    <x v="0"/>
    <x v="2"/>
    <x v="0"/>
    <x v="3"/>
    <x v="3"/>
  </r>
  <r>
    <n v="892532"/>
    <x v="0"/>
    <x v="3"/>
    <n v="38"/>
    <x v="2"/>
    <d v="2016-03-20T20:39:00"/>
    <x v="79"/>
    <x v="5"/>
    <x v="475"/>
    <n v="20"/>
    <x v="4"/>
    <x v="1"/>
    <x v="1"/>
    <x v="0"/>
    <x v="0"/>
  </r>
  <r>
    <n v="816289"/>
    <x v="2"/>
    <x v="4"/>
    <n v="25"/>
    <x v="5"/>
    <d v="2016-03-08T12:48:00"/>
    <x v="280"/>
    <x v="4"/>
    <x v="476"/>
    <n v="12"/>
    <x v="3"/>
    <x v="1"/>
    <x v="0"/>
    <x v="3"/>
    <x v="2"/>
  </r>
  <r>
    <n v="816289"/>
    <x v="2"/>
    <x v="4"/>
    <n v="25"/>
    <x v="5"/>
    <d v="2016-03-09T05:31:00"/>
    <x v="11"/>
    <x v="12"/>
    <x v="477"/>
    <n v="5"/>
    <x v="1"/>
    <x v="1"/>
    <x v="0"/>
    <x v="3"/>
    <x v="1"/>
  </r>
  <r>
    <n v="868961"/>
    <x v="0"/>
    <x v="4"/>
    <n v="35"/>
    <x v="2"/>
    <d v="2016-03-16T16:28:00"/>
    <x v="145"/>
    <x v="6"/>
    <x v="478"/>
    <n v="16"/>
    <x v="1"/>
    <x v="1"/>
    <x v="0"/>
    <x v="0"/>
    <x v="2"/>
  </r>
  <r>
    <n v="2285609"/>
    <x v="0"/>
    <x v="2"/>
    <n v="28"/>
    <x v="4"/>
    <d v="2016-02-25T21:38:00"/>
    <x v="172"/>
    <x v="5"/>
    <x v="479"/>
    <n v="21"/>
    <x v="5"/>
    <x v="2"/>
    <x v="0"/>
    <x v="3"/>
    <x v="0"/>
  </r>
  <r>
    <n v="2285609"/>
    <x v="0"/>
    <x v="2"/>
    <n v="28"/>
    <x v="4"/>
    <d v="2016-03-07T21:45:00"/>
    <x v="281"/>
    <x v="0"/>
    <x v="480"/>
    <n v="21"/>
    <x v="0"/>
    <x v="1"/>
    <x v="0"/>
    <x v="3"/>
    <x v="0"/>
  </r>
  <r>
    <n v="793649"/>
    <x v="2"/>
    <x v="5"/>
    <n v="21"/>
    <x v="6"/>
    <d v="2016-03-30T07:28:00"/>
    <x v="282"/>
    <x v="0"/>
    <x v="481"/>
    <n v="7"/>
    <x v="1"/>
    <x v="1"/>
    <x v="0"/>
    <x v="3"/>
    <x v="1"/>
  </r>
  <r>
    <n v="793649"/>
    <x v="2"/>
    <x v="5"/>
    <n v="21"/>
    <x v="6"/>
    <d v="2016-03-27T21:39:00"/>
    <x v="50"/>
    <x v="16"/>
    <x v="482"/>
    <n v="21"/>
    <x v="4"/>
    <x v="1"/>
    <x v="1"/>
    <x v="3"/>
    <x v="0"/>
  </r>
  <r>
    <n v="793649"/>
    <x v="2"/>
    <x v="5"/>
    <n v="21"/>
    <x v="6"/>
    <d v="2016-03-29T15:54:00"/>
    <x v="283"/>
    <x v="11"/>
    <x v="483"/>
    <n v="15"/>
    <x v="3"/>
    <x v="1"/>
    <x v="0"/>
    <x v="3"/>
    <x v="2"/>
  </r>
  <r>
    <n v="771872"/>
    <x v="0"/>
    <x v="0"/>
    <n v="25"/>
    <x v="0"/>
    <d v="2016-02-07T14:10:00"/>
    <x v="284"/>
    <x v="5"/>
    <x v="484"/>
    <n v="14"/>
    <x v="4"/>
    <x v="2"/>
    <x v="1"/>
    <x v="3"/>
    <x v="2"/>
  </r>
  <r>
    <n v="771872"/>
    <x v="0"/>
    <x v="0"/>
    <n v="25"/>
    <x v="0"/>
    <d v="2016-01-31T14:20:00"/>
    <x v="285"/>
    <x v="3"/>
    <x v="485"/>
    <n v="14"/>
    <x v="4"/>
    <x v="0"/>
    <x v="1"/>
    <x v="3"/>
    <x v="2"/>
  </r>
  <r>
    <n v="771872"/>
    <x v="0"/>
    <x v="0"/>
    <n v="25"/>
    <x v="0"/>
    <d v="2016-01-31T17:32:00"/>
    <x v="286"/>
    <x v="3"/>
    <x v="486"/>
    <n v="17"/>
    <x v="4"/>
    <x v="0"/>
    <x v="1"/>
    <x v="3"/>
    <x v="0"/>
  </r>
  <r>
    <n v="809000"/>
    <x v="0"/>
    <x v="4"/>
    <n v="47"/>
    <x v="2"/>
    <d v="2016-02-19T07:18:00"/>
    <x v="170"/>
    <x v="6"/>
    <x v="487"/>
    <n v="7"/>
    <x v="2"/>
    <x v="2"/>
    <x v="0"/>
    <x v="4"/>
    <x v="1"/>
  </r>
  <r>
    <n v="809000"/>
    <x v="0"/>
    <x v="4"/>
    <n v="47"/>
    <x v="2"/>
    <d v="2016-01-03T20:34:00"/>
    <x v="148"/>
    <x v="13"/>
    <x v="488"/>
    <n v="20"/>
    <x v="4"/>
    <x v="0"/>
    <x v="1"/>
    <x v="4"/>
    <x v="0"/>
  </r>
  <r>
    <n v="809000"/>
    <x v="0"/>
    <x v="4"/>
    <n v="47"/>
    <x v="2"/>
    <d v="2016-01-05T05:06:00"/>
    <x v="36"/>
    <x v="4"/>
    <x v="489"/>
    <n v="5"/>
    <x v="3"/>
    <x v="0"/>
    <x v="0"/>
    <x v="4"/>
    <x v="1"/>
  </r>
  <r>
    <n v="809000"/>
    <x v="0"/>
    <x v="4"/>
    <n v="47"/>
    <x v="2"/>
    <d v="2016-03-04T07:17:00"/>
    <x v="33"/>
    <x v="12"/>
    <x v="490"/>
    <n v="7"/>
    <x v="2"/>
    <x v="1"/>
    <x v="0"/>
    <x v="4"/>
    <x v="1"/>
  </r>
  <r>
    <n v="809000"/>
    <x v="0"/>
    <x v="4"/>
    <n v="47"/>
    <x v="2"/>
    <d v="2016-03-12T20:20:00"/>
    <x v="254"/>
    <x v="7"/>
    <x v="491"/>
    <n v="20"/>
    <x v="6"/>
    <x v="1"/>
    <x v="1"/>
    <x v="4"/>
    <x v="0"/>
  </r>
  <r>
    <n v="809000"/>
    <x v="0"/>
    <x v="4"/>
    <n v="47"/>
    <x v="2"/>
    <d v="2016-03-10T02:28:00"/>
    <x v="90"/>
    <x v="11"/>
    <x v="492"/>
    <n v="2"/>
    <x v="5"/>
    <x v="1"/>
    <x v="0"/>
    <x v="4"/>
    <x v="3"/>
  </r>
  <r>
    <n v="771876"/>
    <x v="0"/>
    <x v="4"/>
    <n v="25"/>
    <x v="8"/>
    <d v="2016-01-31T11:28:00"/>
    <x v="177"/>
    <x v="0"/>
    <x v="493"/>
    <n v="11"/>
    <x v="4"/>
    <x v="0"/>
    <x v="1"/>
    <x v="3"/>
    <x v="2"/>
  </r>
  <r>
    <n v="771876"/>
    <x v="0"/>
    <x v="4"/>
    <n v="25"/>
    <x v="8"/>
    <d v="2016-02-07T17:54:00"/>
    <x v="48"/>
    <x v="3"/>
    <x v="494"/>
    <n v="17"/>
    <x v="4"/>
    <x v="2"/>
    <x v="1"/>
    <x v="3"/>
    <x v="0"/>
  </r>
  <r>
    <n v="771876"/>
    <x v="0"/>
    <x v="4"/>
    <n v="25"/>
    <x v="8"/>
    <d v="2016-01-29T12:37:00"/>
    <x v="11"/>
    <x v="6"/>
    <x v="495"/>
    <n v="12"/>
    <x v="2"/>
    <x v="0"/>
    <x v="0"/>
    <x v="3"/>
    <x v="2"/>
  </r>
  <r>
    <n v="771876"/>
    <x v="0"/>
    <x v="4"/>
    <n v="25"/>
    <x v="8"/>
    <d v="2016-01-31T13:03:00"/>
    <x v="11"/>
    <x v="3"/>
    <x v="496"/>
    <n v="13"/>
    <x v="4"/>
    <x v="0"/>
    <x v="1"/>
    <x v="3"/>
    <x v="2"/>
  </r>
  <r>
    <n v="771876"/>
    <x v="0"/>
    <x v="4"/>
    <n v="25"/>
    <x v="8"/>
    <d v="2016-02-06T06:14:00"/>
    <x v="287"/>
    <x v="0"/>
    <x v="497"/>
    <n v="6"/>
    <x v="6"/>
    <x v="2"/>
    <x v="1"/>
    <x v="3"/>
    <x v="1"/>
  </r>
  <r>
    <n v="771876"/>
    <x v="0"/>
    <x v="4"/>
    <n v="25"/>
    <x v="8"/>
    <d v="2016-02-06T14:08:00"/>
    <x v="288"/>
    <x v="5"/>
    <x v="498"/>
    <n v="14"/>
    <x v="6"/>
    <x v="2"/>
    <x v="1"/>
    <x v="3"/>
    <x v="2"/>
  </r>
  <r>
    <n v="771877"/>
    <x v="0"/>
    <x v="4"/>
    <n v="25"/>
    <x v="9"/>
    <d v="2016-01-29T19:43:00"/>
    <x v="289"/>
    <x v="14"/>
    <x v="499"/>
    <n v="19"/>
    <x v="2"/>
    <x v="0"/>
    <x v="0"/>
    <x v="3"/>
    <x v="0"/>
  </r>
  <r>
    <n v="771877"/>
    <x v="0"/>
    <x v="4"/>
    <n v="25"/>
    <x v="9"/>
    <d v="2016-01-31T18:38:00"/>
    <x v="290"/>
    <x v="2"/>
    <x v="500"/>
    <n v="18"/>
    <x v="4"/>
    <x v="0"/>
    <x v="1"/>
    <x v="3"/>
    <x v="0"/>
  </r>
  <r>
    <n v="2359733"/>
    <x v="0"/>
    <x v="4"/>
    <n v="43"/>
    <x v="2"/>
    <d v="2016-01-26T21:50:00"/>
    <x v="291"/>
    <x v="4"/>
    <x v="501"/>
    <n v="21"/>
    <x v="3"/>
    <x v="0"/>
    <x v="0"/>
    <x v="4"/>
    <x v="0"/>
  </r>
  <r>
    <n v="809006"/>
    <x v="0"/>
    <x v="4"/>
    <n v="31"/>
    <x v="2"/>
    <d v="2016-02-15T23:54:00"/>
    <x v="2"/>
    <x v="6"/>
    <x v="502"/>
    <n v="23"/>
    <x v="0"/>
    <x v="2"/>
    <x v="0"/>
    <x v="0"/>
    <x v="4"/>
  </r>
  <r>
    <n v="809006"/>
    <x v="0"/>
    <x v="4"/>
    <n v="31"/>
    <x v="2"/>
    <d v="2016-02-16T13:23:00"/>
    <x v="0"/>
    <x v="0"/>
    <x v="503"/>
    <n v="13"/>
    <x v="3"/>
    <x v="2"/>
    <x v="0"/>
    <x v="0"/>
    <x v="2"/>
  </r>
  <r>
    <n v="891747"/>
    <x v="0"/>
    <x v="0"/>
    <n v="46"/>
    <x v="2"/>
    <d v="2016-03-24T13:44:00"/>
    <x v="292"/>
    <x v="6"/>
    <x v="504"/>
    <n v="13"/>
    <x v="5"/>
    <x v="1"/>
    <x v="0"/>
    <x v="4"/>
    <x v="2"/>
  </r>
  <r>
    <n v="601422"/>
    <x v="2"/>
    <x v="5"/>
    <n v="10"/>
    <x v="0"/>
    <d v="2016-01-09T15:41:00"/>
    <x v="293"/>
    <x v="6"/>
    <x v="505"/>
    <n v="15"/>
    <x v="6"/>
    <x v="0"/>
    <x v="1"/>
    <x v="1"/>
    <x v="2"/>
  </r>
  <r>
    <n v="866215"/>
    <x v="0"/>
    <x v="4"/>
    <n v="22"/>
    <x v="4"/>
    <d v="2016-03-07T16:00:00"/>
    <x v="98"/>
    <x v="0"/>
    <x v="506"/>
    <n v="16"/>
    <x v="0"/>
    <x v="1"/>
    <x v="0"/>
    <x v="3"/>
    <x v="2"/>
  </r>
  <r>
    <n v="939668"/>
    <x v="0"/>
    <x v="4"/>
    <n v="21"/>
    <x v="5"/>
    <d v="2016-03-11T06:29:00"/>
    <x v="294"/>
    <x v="4"/>
    <x v="507"/>
    <n v="6"/>
    <x v="2"/>
    <x v="1"/>
    <x v="0"/>
    <x v="3"/>
    <x v="1"/>
  </r>
  <r>
    <n v="939668"/>
    <x v="0"/>
    <x v="4"/>
    <n v="21"/>
    <x v="5"/>
    <d v="2016-03-12T06:57:00"/>
    <x v="228"/>
    <x v="8"/>
    <x v="508"/>
    <n v="6"/>
    <x v="6"/>
    <x v="1"/>
    <x v="1"/>
    <x v="3"/>
    <x v="1"/>
  </r>
  <r>
    <n v="939668"/>
    <x v="0"/>
    <x v="4"/>
    <n v="21"/>
    <x v="5"/>
    <d v="2016-03-12T17:12:00"/>
    <x v="295"/>
    <x v="7"/>
    <x v="509"/>
    <n v="17"/>
    <x v="6"/>
    <x v="1"/>
    <x v="1"/>
    <x v="3"/>
    <x v="0"/>
  </r>
  <r>
    <n v="939668"/>
    <x v="0"/>
    <x v="4"/>
    <n v="21"/>
    <x v="5"/>
    <d v="2016-03-12T18:50:00"/>
    <x v="2"/>
    <x v="4"/>
    <x v="510"/>
    <n v="18"/>
    <x v="6"/>
    <x v="1"/>
    <x v="1"/>
    <x v="3"/>
    <x v="0"/>
  </r>
  <r>
    <n v="416232"/>
    <x v="1"/>
    <x v="1"/>
    <n v="0"/>
    <x v="1"/>
    <d v="2016-02-13T05:15:00"/>
    <x v="11"/>
    <x v="3"/>
    <x v="511"/>
    <n v="5"/>
    <x v="6"/>
    <x v="2"/>
    <x v="1"/>
    <x v="1"/>
    <x v="1"/>
  </r>
  <r>
    <n v="793652"/>
    <x v="0"/>
    <x v="4"/>
    <n v="32"/>
    <x v="3"/>
    <d v="2016-03-24T08:50:00"/>
    <x v="50"/>
    <x v="6"/>
    <x v="512"/>
    <n v="8"/>
    <x v="5"/>
    <x v="1"/>
    <x v="0"/>
    <x v="0"/>
    <x v="1"/>
  </r>
  <r>
    <n v="830884"/>
    <x v="0"/>
    <x v="3"/>
    <n v="50"/>
    <x v="2"/>
    <d v="2016-03-11T12:26:00"/>
    <x v="296"/>
    <x v="12"/>
    <x v="513"/>
    <n v="12"/>
    <x v="2"/>
    <x v="1"/>
    <x v="0"/>
    <x v="2"/>
    <x v="2"/>
  </r>
  <r>
    <n v="809008"/>
    <x v="0"/>
    <x v="0"/>
    <n v="28"/>
    <x v="9"/>
    <d v="2016-03-03T19:19:00"/>
    <x v="36"/>
    <x v="4"/>
    <x v="514"/>
    <n v="19"/>
    <x v="5"/>
    <x v="1"/>
    <x v="0"/>
    <x v="3"/>
    <x v="0"/>
  </r>
  <r>
    <n v="809008"/>
    <x v="0"/>
    <x v="0"/>
    <n v="28"/>
    <x v="9"/>
    <d v="2016-03-03T18:38:00"/>
    <x v="128"/>
    <x v="16"/>
    <x v="515"/>
    <n v="18"/>
    <x v="5"/>
    <x v="1"/>
    <x v="0"/>
    <x v="3"/>
    <x v="0"/>
  </r>
  <r>
    <n v="809008"/>
    <x v="0"/>
    <x v="0"/>
    <n v="28"/>
    <x v="9"/>
    <d v="2016-03-05T10:06:00"/>
    <x v="52"/>
    <x v="11"/>
    <x v="516"/>
    <n v="10"/>
    <x v="6"/>
    <x v="1"/>
    <x v="1"/>
    <x v="3"/>
    <x v="1"/>
  </r>
  <r>
    <n v="809008"/>
    <x v="0"/>
    <x v="0"/>
    <n v="28"/>
    <x v="9"/>
    <d v="2016-03-05T13:47:00"/>
    <x v="297"/>
    <x v="7"/>
    <x v="517"/>
    <n v="13"/>
    <x v="6"/>
    <x v="1"/>
    <x v="1"/>
    <x v="3"/>
    <x v="2"/>
  </r>
  <r>
    <n v="809008"/>
    <x v="0"/>
    <x v="0"/>
    <n v="28"/>
    <x v="9"/>
    <d v="2016-02-28T14:28:00"/>
    <x v="298"/>
    <x v="5"/>
    <x v="518"/>
    <n v="14"/>
    <x v="4"/>
    <x v="2"/>
    <x v="1"/>
    <x v="3"/>
    <x v="2"/>
  </r>
  <r>
    <n v="809008"/>
    <x v="0"/>
    <x v="0"/>
    <n v="28"/>
    <x v="9"/>
    <d v="2016-03-09T12:11:00"/>
    <x v="53"/>
    <x v="1"/>
    <x v="519"/>
    <n v="12"/>
    <x v="1"/>
    <x v="1"/>
    <x v="0"/>
    <x v="3"/>
    <x v="2"/>
  </r>
  <r>
    <n v="809008"/>
    <x v="0"/>
    <x v="0"/>
    <n v="28"/>
    <x v="9"/>
    <d v="2016-03-01T19:15:00"/>
    <x v="299"/>
    <x v="7"/>
    <x v="520"/>
    <n v="19"/>
    <x v="3"/>
    <x v="1"/>
    <x v="0"/>
    <x v="3"/>
    <x v="0"/>
  </r>
  <r>
    <n v="771881"/>
    <x v="0"/>
    <x v="4"/>
    <n v="31"/>
    <x v="2"/>
    <d v="2016-03-22T07:26:00"/>
    <x v="128"/>
    <x v="3"/>
    <x v="521"/>
    <n v="7"/>
    <x v="3"/>
    <x v="1"/>
    <x v="0"/>
    <x v="0"/>
    <x v="1"/>
  </r>
  <r>
    <n v="771881"/>
    <x v="0"/>
    <x v="4"/>
    <n v="31"/>
    <x v="2"/>
    <d v="2016-01-18T13:54:00"/>
    <x v="83"/>
    <x v="11"/>
    <x v="522"/>
    <n v="13"/>
    <x v="0"/>
    <x v="0"/>
    <x v="0"/>
    <x v="0"/>
    <x v="2"/>
  </r>
  <r>
    <n v="771881"/>
    <x v="0"/>
    <x v="4"/>
    <n v="31"/>
    <x v="2"/>
    <d v="2016-01-20T17:07:00"/>
    <x v="57"/>
    <x v="11"/>
    <x v="523"/>
    <n v="17"/>
    <x v="1"/>
    <x v="0"/>
    <x v="0"/>
    <x v="0"/>
    <x v="0"/>
  </r>
  <r>
    <n v="771881"/>
    <x v="0"/>
    <x v="4"/>
    <n v="31"/>
    <x v="2"/>
    <d v="2016-03-20T15:52:00"/>
    <x v="176"/>
    <x v="6"/>
    <x v="524"/>
    <n v="15"/>
    <x v="4"/>
    <x v="1"/>
    <x v="1"/>
    <x v="0"/>
    <x v="2"/>
  </r>
  <r>
    <n v="771882"/>
    <x v="0"/>
    <x v="4"/>
    <n v="27"/>
    <x v="2"/>
    <d v="2016-01-25T16:43:00"/>
    <x v="199"/>
    <x v="5"/>
    <x v="525"/>
    <n v="16"/>
    <x v="0"/>
    <x v="0"/>
    <x v="0"/>
    <x v="3"/>
    <x v="2"/>
  </r>
  <r>
    <n v="771882"/>
    <x v="0"/>
    <x v="4"/>
    <n v="27"/>
    <x v="2"/>
    <d v="2016-01-20T10:37:00"/>
    <x v="300"/>
    <x v="11"/>
    <x v="526"/>
    <n v="10"/>
    <x v="1"/>
    <x v="0"/>
    <x v="0"/>
    <x v="3"/>
    <x v="1"/>
  </r>
  <r>
    <n v="771882"/>
    <x v="0"/>
    <x v="4"/>
    <n v="27"/>
    <x v="2"/>
    <d v="2016-02-17T23:09:00"/>
    <x v="15"/>
    <x v="5"/>
    <x v="527"/>
    <n v="23"/>
    <x v="1"/>
    <x v="2"/>
    <x v="0"/>
    <x v="3"/>
    <x v="4"/>
  </r>
  <r>
    <n v="930047"/>
    <x v="0"/>
    <x v="2"/>
    <n v="40"/>
    <x v="2"/>
    <d v="2016-03-28T15:36:00"/>
    <x v="172"/>
    <x v="7"/>
    <x v="528"/>
    <n v="15"/>
    <x v="0"/>
    <x v="1"/>
    <x v="0"/>
    <x v="4"/>
    <x v="2"/>
  </r>
  <r>
    <n v="809010"/>
    <x v="0"/>
    <x v="0"/>
    <n v="31"/>
    <x v="2"/>
    <d v="2016-02-14T09:36:00"/>
    <x v="301"/>
    <x v="5"/>
    <x v="529"/>
    <n v="9"/>
    <x v="4"/>
    <x v="2"/>
    <x v="1"/>
    <x v="0"/>
    <x v="1"/>
  </r>
  <r>
    <n v="809010"/>
    <x v="0"/>
    <x v="0"/>
    <n v="31"/>
    <x v="2"/>
    <d v="2016-02-16T14:34:00"/>
    <x v="302"/>
    <x v="5"/>
    <x v="530"/>
    <n v="14"/>
    <x v="3"/>
    <x v="2"/>
    <x v="0"/>
    <x v="0"/>
    <x v="2"/>
  </r>
  <r>
    <n v="809010"/>
    <x v="0"/>
    <x v="0"/>
    <n v="31"/>
    <x v="2"/>
    <d v="2016-02-16T09:44:00"/>
    <x v="63"/>
    <x v="0"/>
    <x v="531"/>
    <n v="9"/>
    <x v="3"/>
    <x v="2"/>
    <x v="0"/>
    <x v="0"/>
    <x v="1"/>
  </r>
  <r>
    <n v="939673"/>
    <x v="0"/>
    <x v="4"/>
    <n v="29"/>
    <x v="0"/>
    <d v="2016-03-28T11:20:00"/>
    <x v="303"/>
    <x v="7"/>
    <x v="532"/>
    <n v="11"/>
    <x v="0"/>
    <x v="1"/>
    <x v="0"/>
    <x v="0"/>
    <x v="2"/>
  </r>
  <r>
    <n v="764396"/>
    <x v="0"/>
    <x v="3"/>
    <n v="52"/>
    <x v="3"/>
    <d v="2016-01-24T19:41:00"/>
    <x v="177"/>
    <x v="6"/>
    <x v="533"/>
    <n v="19"/>
    <x v="4"/>
    <x v="0"/>
    <x v="1"/>
    <x v="2"/>
    <x v="0"/>
  </r>
  <r>
    <n v="764396"/>
    <x v="0"/>
    <x v="3"/>
    <n v="52"/>
    <x v="3"/>
    <d v="2016-01-25T08:39:00"/>
    <x v="304"/>
    <x v="12"/>
    <x v="534"/>
    <n v="8"/>
    <x v="0"/>
    <x v="0"/>
    <x v="0"/>
    <x v="2"/>
    <x v="1"/>
  </r>
  <r>
    <n v="764396"/>
    <x v="0"/>
    <x v="3"/>
    <n v="52"/>
    <x v="3"/>
    <d v="2016-01-08T03:51:00"/>
    <x v="305"/>
    <x v="3"/>
    <x v="535"/>
    <n v="3"/>
    <x v="2"/>
    <x v="0"/>
    <x v="0"/>
    <x v="2"/>
    <x v="3"/>
  </r>
  <r>
    <n v="764396"/>
    <x v="0"/>
    <x v="3"/>
    <n v="52"/>
    <x v="3"/>
    <d v="2016-01-22T03:48:00"/>
    <x v="150"/>
    <x v="5"/>
    <x v="536"/>
    <n v="3"/>
    <x v="2"/>
    <x v="0"/>
    <x v="0"/>
    <x v="2"/>
    <x v="3"/>
  </r>
  <r>
    <n v="764396"/>
    <x v="0"/>
    <x v="3"/>
    <n v="52"/>
    <x v="3"/>
    <d v="2016-01-18T05:37:00"/>
    <x v="109"/>
    <x v="5"/>
    <x v="537"/>
    <n v="5"/>
    <x v="0"/>
    <x v="0"/>
    <x v="0"/>
    <x v="2"/>
    <x v="1"/>
  </r>
  <r>
    <n v="809011"/>
    <x v="0"/>
    <x v="0"/>
    <n v="48"/>
    <x v="0"/>
    <d v="2016-02-20T05:28:00"/>
    <x v="176"/>
    <x v="6"/>
    <x v="538"/>
    <n v="5"/>
    <x v="6"/>
    <x v="2"/>
    <x v="1"/>
    <x v="4"/>
    <x v="1"/>
  </r>
  <r>
    <n v="809011"/>
    <x v="0"/>
    <x v="0"/>
    <n v="48"/>
    <x v="0"/>
    <d v="2016-02-20T14:30:00"/>
    <x v="11"/>
    <x v="7"/>
    <x v="539"/>
    <n v="14"/>
    <x v="6"/>
    <x v="2"/>
    <x v="1"/>
    <x v="4"/>
    <x v="2"/>
  </r>
  <r>
    <n v="809011"/>
    <x v="0"/>
    <x v="0"/>
    <n v="48"/>
    <x v="0"/>
    <d v="2016-02-21T18:34:00"/>
    <x v="150"/>
    <x v="7"/>
    <x v="540"/>
    <n v="18"/>
    <x v="4"/>
    <x v="2"/>
    <x v="1"/>
    <x v="4"/>
    <x v="0"/>
  </r>
  <r>
    <n v="809011"/>
    <x v="0"/>
    <x v="0"/>
    <n v="48"/>
    <x v="0"/>
    <d v="2016-02-19T13:27:00"/>
    <x v="306"/>
    <x v="6"/>
    <x v="541"/>
    <n v="13"/>
    <x v="2"/>
    <x v="2"/>
    <x v="0"/>
    <x v="4"/>
    <x v="2"/>
  </r>
  <r>
    <n v="809011"/>
    <x v="0"/>
    <x v="0"/>
    <n v="48"/>
    <x v="0"/>
    <d v="2016-02-25T10:31:00"/>
    <x v="307"/>
    <x v="1"/>
    <x v="542"/>
    <n v="10"/>
    <x v="5"/>
    <x v="2"/>
    <x v="0"/>
    <x v="4"/>
    <x v="1"/>
  </r>
  <r>
    <n v="809011"/>
    <x v="0"/>
    <x v="0"/>
    <n v="48"/>
    <x v="0"/>
    <d v="2016-02-25T07:54:00"/>
    <x v="308"/>
    <x v="6"/>
    <x v="543"/>
    <n v="7"/>
    <x v="5"/>
    <x v="2"/>
    <x v="0"/>
    <x v="4"/>
    <x v="1"/>
  </r>
  <r>
    <n v="809011"/>
    <x v="0"/>
    <x v="0"/>
    <n v="48"/>
    <x v="0"/>
    <d v="2016-02-27T10:18:00"/>
    <x v="150"/>
    <x v="15"/>
    <x v="544"/>
    <n v="10"/>
    <x v="6"/>
    <x v="2"/>
    <x v="1"/>
    <x v="4"/>
    <x v="1"/>
  </r>
  <r>
    <n v="875048"/>
    <x v="0"/>
    <x v="2"/>
    <n v="25"/>
    <x v="2"/>
    <d v="2016-03-15T08:53:00"/>
    <x v="11"/>
    <x v="1"/>
    <x v="545"/>
    <n v="8"/>
    <x v="3"/>
    <x v="1"/>
    <x v="0"/>
    <x v="3"/>
    <x v="1"/>
  </r>
  <r>
    <n v="721900"/>
    <x v="1"/>
    <x v="1"/>
    <n v="0"/>
    <x v="1"/>
    <d v="2016-02-06T19:20:00"/>
    <x v="11"/>
    <x v="2"/>
    <x v="546"/>
    <n v="19"/>
    <x v="6"/>
    <x v="2"/>
    <x v="1"/>
    <x v="1"/>
    <x v="0"/>
  </r>
  <r>
    <n v="831775"/>
    <x v="0"/>
    <x v="0"/>
    <n v="34"/>
    <x v="3"/>
    <d v="2016-03-13T08:41:00"/>
    <x v="136"/>
    <x v="14"/>
    <x v="547"/>
    <n v="8"/>
    <x v="4"/>
    <x v="1"/>
    <x v="1"/>
    <x v="0"/>
    <x v="1"/>
  </r>
  <r>
    <n v="831775"/>
    <x v="0"/>
    <x v="0"/>
    <n v="34"/>
    <x v="3"/>
    <d v="2016-03-29T16:07:00"/>
    <x v="79"/>
    <x v="11"/>
    <x v="548"/>
    <n v="16"/>
    <x v="3"/>
    <x v="1"/>
    <x v="0"/>
    <x v="0"/>
    <x v="2"/>
  </r>
  <r>
    <n v="803575"/>
    <x v="0"/>
    <x v="2"/>
    <n v="27"/>
    <x v="3"/>
    <d v="2016-02-19T09:08:00"/>
    <x v="176"/>
    <x v="6"/>
    <x v="549"/>
    <n v="9"/>
    <x v="2"/>
    <x v="2"/>
    <x v="0"/>
    <x v="3"/>
    <x v="1"/>
  </r>
  <r>
    <n v="803575"/>
    <x v="0"/>
    <x v="2"/>
    <n v="27"/>
    <x v="3"/>
    <d v="2016-01-31T09:46:00"/>
    <x v="55"/>
    <x v="6"/>
    <x v="550"/>
    <n v="9"/>
    <x v="4"/>
    <x v="0"/>
    <x v="1"/>
    <x v="3"/>
    <x v="1"/>
  </r>
  <r>
    <n v="803575"/>
    <x v="0"/>
    <x v="2"/>
    <n v="27"/>
    <x v="3"/>
    <d v="2016-01-23T10:34:00"/>
    <x v="309"/>
    <x v="6"/>
    <x v="551"/>
    <n v="10"/>
    <x v="6"/>
    <x v="0"/>
    <x v="1"/>
    <x v="3"/>
    <x v="1"/>
  </r>
  <r>
    <n v="939679"/>
    <x v="0"/>
    <x v="0"/>
    <n v="41"/>
    <x v="0"/>
    <d v="2016-03-28T15:34:00"/>
    <x v="57"/>
    <x v="3"/>
    <x v="552"/>
    <n v="15"/>
    <x v="0"/>
    <x v="1"/>
    <x v="0"/>
    <x v="4"/>
    <x v="2"/>
  </r>
  <r>
    <n v="939679"/>
    <x v="0"/>
    <x v="0"/>
    <n v="41"/>
    <x v="0"/>
    <d v="2016-03-28T16:27:00"/>
    <x v="3"/>
    <x v="3"/>
    <x v="553"/>
    <n v="16"/>
    <x v="0"/>
    <x v="1"/>
    <x v="0"/>
    <x v="4"/>
    <x v="2"/>
  </r>
  <r>
    <n v="939679"/>
    <x v="0"/>
    <x v="0"/>
    <n v="41"/>
    <x v="0"/>
    <d v="2016-03-24T22:49:00"/>
    <x v="57"/>
    <x v="5"/>
    <x v="554"/>
    <n v="22"/>
    <x v="5"/>
    <x v="1"/>
    <x v="0"/>
    <x v="4"/>
    <x v="4"/>
  </r>
  <r>
    <n v="809015"/>
    <x v="2"/>
    <x v="0"/>
    <n v="31"/>
    <x v="3"/>
    <d v="2016-02-20T04:16:00"/>
    <x v="286"/>
    <x v="3"/>
    <x v="555"/>
    <n v="4"/>
    <x v="6"/>
    <x v="2"/>
    <x v="1"/>
    <x v="0"/>
    <x v="3"/>
  </r>
  <r>
    <n v="809015"/>
    <x v="2"/>
    <x v="0"/>
    <n v="31"/>
    <x v="3"/>
    <d v="2016-02-19T04:30:00"/>
    <x v="310"/>
    <x v="4"/>
    <x v="556"/>
    <n v="4"/>
    <x v="2"/>
    <x v="2"/>
    <x v="0"/>
    <x v="0"/>
    <x v="3"/>
  </r>
  <r>
    <n v="809015"/>
    <x v="2"/>
    <x v="0"/>
    <n v="31"/>
    <x v="3"/>
    <d v="2016-02-05T06:49:00"/>
    <x v="22"/>
    <x v="5"/>
    <x v="557"/>
    <n v="6"/>
    <x v="2"/>
    <x v="2"/>
    <x v="0"/>
    <x v="0"/>
    <x v="1"/>
  </r>
  <r>
    <n v="809015"/>
    <x v="2"/>
    <x v="0"/>
    <n v="31"/>
    <x v="3"/>
    <d v="2016-02-19T04:30:00"/>
    <x v="310"/>
    <x v="4"/>
    <x v="556"/>
    <n v="4"/>
    <x v="2"/>
    <x v="2"/>
    <x v="0"/>
    <x v="0"/>
    <x v="3"/>
  </r>
  <r>
    <n v="809015"/>
    <x v="2"/>
    <x v="0"/>
    <n v="31"/>
    <x v="3"/>
    <d v="2016-02-24T08:37:00"/>
    <x v="0"/>
    <x v="4"/>
    <x v="558"/>
    <n v="8"/>
    <x v="1"/>
    <x v="2"/>
    <x v="0"/>
    <x v="0"/>
    <x v="1"/>
  </r>
  <r>
    <n v="809015"/>
    <x v="2"/>
    <x v="0"/>
    <n v="31"/>
    <x v="3"/>
    <d v="2016-01-30T16:54:00"/>
    <x v="51"/>
    <x v="5"/>
    <x v="559"/>
    <n v="16"/>
    <x v="6"/>
    <x v="0"/>
    <x v="1"/>
    <x v="0"/>
    <x v="2"/>
  </r>
  <r>
    <n v="809015"/>
    <x v="2"/>
    <x v="0"/>
    <n v="31"/>
    <x v="3"/>
    <d v="2016-01-29T19:48:00"/>
    <x v="66"/>
    <x v="5"/>
    <x v="560"/>
    <n v="19"/>
    <x v="2"/>
    <x v="0"/>
    <x v="0"/>
    <x v="0"/>
    <x v="0"/>
  </r>
  <r>
    <n v="809015"/>
    <x v="2"/>
    <x v="0"/>
    <n v="31"/>
    <x v="3"/>
    <d v="2016-01-28T16:26:00"/>
    <x v="311"/>
    <x v="7"/>
    <x v="561"/>
    <n v="16"/>
    <x v="5"/>
    <x v="0"/>
    <x v="0"/>
    <x v="0"/>
    <x v="2"/>
  </r>
  <r>
    <n v="809015"/>
    <x v="2"/>
    <x v="0"/>
    <n v="31"/>
    <x v="3"/>
    <d v="2016-02-06T11:34:00"/>
    <x v="22"/>
    <x v="4"/>
    <x v="562"/>
    <n v="11"/>
    <x v="6"/>
    <x v="2"/>
    <x v="1"/>
    <x v="0"/>
    <x v="2"/>
  </r>
  <r>
    <n v="809015"/>
    <x v="2"/>
    <x v="0"/>
    <n v="31"/>
    <x v="3"/>
    <d v="2016-02-23T16:55:00"/>
    <x v="167"/>
    <x v="5"/>
    <x v="563"/>
    <n v="16"/>
    <x v="3"/>
    <x v="2"/>
    <x v="0"/>
    <x v="0"/>
    <x v="2"/>
  </r>
  <r>
    <n v="939680"/>
    <x v="0"/>
    <x v="3"/>
    <n v="19"/>
    <x v="2"/>
    <d v="2016-03-24T16:59:00"/>
    <x v="221"/>
    <x v="6"/>
    <x v="564"/>
    <n v="16"/>
    <x v="5"/>
    <x v="1"/>
    <x v="0"/>
    <x v="3"/>
    <x v="2"/>
  </r>
  <r>
    <n v="939680"/>
    <x v="0"/>
    <x v="3"/>
    <n v="19"/>
    <x v="2"/>
    <d v="2016-03-24T06:36:00"/>
    <x v="312"/>
    <x v="5"/>
    <x v="565"/>
    <n v="6"/>
    <x v="5"/>
    <x v="1"/>
    <x v="0"/>
    <x v="3"/>
    <x v="1"/>
  </r>
  <r>
    <n v="939680"/>
    <x v="0"/>
    <x v="3"/>
    <n v="19"/>
    <x v="2"/>
    <d v="2016-03-28T10:53:00"/>
    <x v="313"/>
    <x v="3"/>
    <x v="566"/>
    <n v="10"/>
    <x v="0"/>
    <x v="1"/>
    <x v="0"/>
    <x v="3"/>
    <x v="1"/>
  </r>
  <r>
    <n v="939680"/>
    <x v="0"/>
    <x v="3"/>
    <n v="19"/>
    <x v="2"/>
    <d v="2016-03-27T16:06:00"/>
    <x v="314"/>
    <x v="0"/>
    <x v="567"/>
    <n v="16"/>
    <x v="4"/>
    <x v="1"/>
    <x v="1"/>
    <x v="3"/>
    <x v="2"/>
  </r>
  <r>
    <n v="939680"/>
    <x v="0"/>
    <x v="3"/>
    <n v="19"/>
    <x v="2"/>
    <d v="2016-03-27T20:20:00"/>
    <x v="233"/>
    <x v="3"/>
    <x v="568"/>
    <n v="20"/>
    <x v="4"/>
    <x v="1"/>
    <x v="1"/>
    <x v="3"/>
    <x v="0"/>
  </r>
  <r>
    <n v="939680"/>
    <x v="0"/>
    <x v="3"/>
    <n v="19"/>
    <x v="2"/>
    <d v="2016-03-24T08:53:00"/>
    <x v="315"/>
    <x v="3"/>
    <x v="569"/>
    <n v="8"/>
    <x v="5"/>
    <x v="1"/>
    <x v="0"/>
    <x v="3"/>
    <x v="1"/>
  </r>
  <r>
    <n v="800825"/>
    <x v="0"/>
    <x v="4"/>
    <n v="30"/>
    <x v="4"/>
    <d v="2016-02-16T12:42:00"/>
    <x v="11"/>
    <x v="0"/>
    <x v="570"/>
    <n v="12"/>
    <x v="3"/>
    <x v="2"/>
    <x v="0"/>
    <x v="0"/>
    <x v="2"/>
  </r>
  <r>
    <n v="788725"/>
    <x v="0"/>
    <x v="4"/>
    <n v="32"/>
    <x v="7"/>
    <d v="2016-02-15T17:17:00"/>
    <x v="316"/>
    <x v="4"/>
    <x v="571"/>
    <n v="17"/>
    <x v="0"/>
    <x v="2"/>
    <x v="0"/>
    <x v="0"/>
    <x v="0"/>
  </r>
  <r>
    <n v="788725"/>
    <x v="0"/>
    <x v="4"/>
    <n v="32"/>
    <x v="7"/>
    <d v="2016-02-19T19:41:00"/>
    <x v="83"/>
    <x v="11"/>
    <x v="572"/>
    <n v="19"/>
    <x v="2"/>
    <x v="2"/>
    <x v="0"/>
    <x v="0"/>
    <x v="0"/>
  </r>
  <r>
    <n v="788725"/>
    <x v="0"/>
    <x v="4"/>
    <n v="32"/>
    <x v="7"/>
    <d v="2016-02-12T13:38:00"/>
    <x v="11"/>
    <x v="0"/>
    <x v="573"/>
    <n v="13"/>
    <x v="2"/>
    <x v="2"/>
    <x v="0"/>
    <x v="0"/>
    <x v="2"/>
  </r>
  <r>
    <n v="2090538"/>
    <x v="0"/>
    <x v="2"/>
    <n v="39"/>
    <x v="2"/>
    <d v="2016-03-30T14:58:00"/>
    <x v="317"/>
    <x v="1"/>
    <x v="574"/>
    <n v="14"/>
    <x v="1"/>
    <x v="1"/>
    <x v="0"/>
    <x v="4"/>
    <x v="2"/>
  </r>
  <r>
    <n v="809018"/>
    <x v="0"/>
    <x v="4"/>
    <n v="31"/>
    <x v="4"/>
    <d v="2016-02-17T22:03:00"/>
    <x v="205"/>
    <x v="5"/>
    <x v="575"/>
    <n v="22"/>
    <x v="1"/>
    <x v="2"/>
    <x v="0"/>
    <x v="0"/>
    <x v="4"/>
  </r>
  <r>
    <n v="764405"/>
    <x v="0"/>
    <x v="4"/>
    <n v="37"/>
    <x v="2"/>
    <d v="2016-02-12T17:37:00"/>
    <x v="11"/>
    <x v="8"/>
    <x v="576"/>
    <n v="17"/>
    <x v="2"/>
    <x v="2"/>
    <x v="0"/>
    <x v="0"/>
    <x v="0"/>
  </r>
  <r>
    <n v="788727"/>
    <x v="0"/>
    <x v="0"/>
    <n v="41"/>
    <x v="0"/>
    <d v="2016-01-05T19:31:00"/>
    <x v="318"/>
    <x v="7"/>
    <x v="577"/>
    <n v="19"/>
    <x v="3"/>
    <x v="0"/>
    <x v="0"/>
    <x v="4"/>
    <x v="0"/>
  </r>
  <r>
    <n v="788727"/>
    <x v="0"/>
    <x v="0"/>
    <n v="41"/>
    <x v="0"/>
    <d v="2016-01-10T17:51:00"/>
    <x v="277"/>
    <x v="5"/>
    <x v="578"/>
    <n v="17"/>
    <x v="4"/>
    <x v="0"/>
    <x v="1"/>
    <x v="4"/>
    <x v="0"/>
  </r>
  <r>
    <n v="788727"/>
    <x v="0"/>
    <x v="0"/>
    <n v="41"/>
    <x v="0"/>
    <d v="2016-01-14T10:03:00"/>
    <x v="197"/>
    <x v="6"/>
    <x v="579"/>
    <n v="10"/>
    <x v="5"/>
    <x v="0"/>
    <x v="0"/>
    <x v="4"/>
    <x v="1"/>
  </r>
  <r>
    <n v="788727"/>
    <x v="0"/>
    <x v="0"/>
    <n v="41"/>
    <x v="0"/>
    <d v="2016-01-23T10:07:00"/>
    <x v="11"/>
    <x v="6"/>
    <x v="580"/>
    <n v="10"/>
    <x v="6"/>
    <x v="0"/>
    <x v="1"/>
    <x v="4"/>
    <x v="1"/>
  </r>
  <r>
    <n v="771888"/>
    <x v="0"/>
    <x v="0"/>
    <n v="41"/>
    <x v="3"/>
    <d v="2016-02-25T16:11:00"/>
    <x v="203"/>
    <x v="4"/>
    <x v="581"/>
    <n v="16"/>
    <x v="5"/>
    <x v="2"/>
    <x v="0"/>
    <x v="4"/>
    <x v="2"/>
  </r>
  <r>
    <n v="788728"/>
    <x v="0"/>
    <x v="4"/>
    <n v="35"/>
    <x v="2"/>
    <d v="2016-03-15T08:58:00"/>
    <x v="109"/>
    <x v="1"/>
    <x v="582"/>
    <n v="8"/>
    <x v="3"/>
    <x v="1"/>
    <x v="0"/>
    <x v="0"/>
    <x v="1"/>
  </r>
  <r>
    <n v="779471"/>
    <x v="0"/>
    <x v="4"/>
    <n v="28"/>
    <x v="3"/>
    <d v="2016-02-10T06:38:00"/>
    <x v="319"/>
    <x v="3"/>
    <x v="583"/>
    <n v="6"/>
    <x v="1"/>
    <x v="2"/>
    <x v="0"/>
    <x v="3"/>
    <x v="1"/>
  </r>
  <r>
    <n v="809021"/>
    <x v="0"/>
    <x v="4"/>
    <n v="41"/>
    <x v="2"/>
    <d v="2016-02-19T21:28:00"/>
    <x v="48"/>
    <x v="6"/>
    <x v="584"/>
    <n v="21"/>
    <x v="2"/>
    <x v="2"/>
    <x v="0"/>
    <x v="4"/>
    <x v="0"/>
  </r>
  <r>
    <n v="820442"/>
    <x v="0"/>
    <x v="3"/>
    <n v="54"/>
    <x v="2"/>
    <d v="2016-02-27T09:56:00"/>
    <x v="42"/>
    <x v="7"/>
    <x v="585"/>
    <n v="9"/>
    <x v="6"/>
    <x v="2"/>
    <x v="1"/>
    <x v="2"/>
    <x v="1"/>
  </r>
  <r>
    <n v="2425739"/>
    <x v="0"/>
    <x v="0"/>
    <n v="54"/>
    <x v="2"/>
    <d v="2016-03-26T04:45:00"/>
    <x v="320"/>
    <x v="7"/>
    <x v="586"/>
    <n v="4"/>
    <x v="6"/>
    <x v="1"/>
    <x v="1"/>
    <x v="2"/>
    <x v="3"/>
  </r>
  <r>
    <n v="771889"/>
    <x v="0"/>
    <x v="4"/>
    <n v="46"/>
    <x v="3"/>
    <d v="2016-01-27T15:43:00"/>
    <x v="83"/>
    <x v="11"/>
    <x v="587"/>
    <n v="15"/>
    <x v="1"/>
    <x v="0"/>
    <x v="0"/>
    <x v="4"/>
    <x v="2"/>
  </r>
  <r>
    <n v="771889"/>
    <x v="0"/>
    <x v="4"/>
    <n v="46"/>
    <x v="3"/>
    <d v="2016-01-21T14:52:00"/>
    <x v="321"/>
    <x v="11"/>
    <x v="588"/>
    <n v="14"/>
    <x v="5"/>
    <x v="0"/>
    <x v="0"/>
    <x v="4"/>
    <x v="2"/>
  </r>
  <r>
    <n v="793662"/>
    <x v="0"/>
    <x v="0"/>
    <n v="26"/>
    <x v="0"/>
    <d v="2016-01-31T10:54:00"/>
    <x v="322"/>
    <x v="8"/>
    <x v="589"/>
    <n v="10"/>
    <x v="4"/>
    <x v="0"/>
    <x v="1"/>
    <x v="3"/>
    <x v="1"/>
  </r>
  <r>
    <n v="793662"/>
    <x v="0"/>
    <x v="0"/>
    <n v="26"/>
    <x v="0"/>
    <d v="2016-01-29T15:31:00"/>
    <x v="136"/>
    <x v="4"/>
    <x v="590"/>
    <n v="15"/>
    <x v="2"/>
    <x v="0"/>
    <x v="0"/>
    <x v="3"/>
    <x v="2"/>
  </r>
  <r>
    <n v="793662"/>
    <x v="0"/>
    <x v="0"/>
    <n v="26"/>
    <x v="0"/>
    <d v="2016-03-31T20:49:00"/>
    <x v="323"/>
    <x v="0"/>
    <x v="591"/>
    <n v="20"/>
    <x v="5"/>
    <x v="1"/>
    <x v="0"/>
    <x v="3"/>
    <x v="0"/>
  </r>
  <r>
    <n v="892554"/>
    <x v="0"/>
    <x v="0"/>
    <n v="31"/>
    <x v="0"/>
    <d v="2016-03-22T06:04:00"/>
    <x v="324"/>
    <x v="8"/>
    <x v="592"/>
    <n v="6"/>
    <x v="3"/>
    <x v="1"/>
    <x v="0"/>
    <x v="0"/>
    <x v="1"/>
  </r>
  <r>
    <n v="820443"/>
    <x v="0"/>
    <x v="4"/>
    <n v="18"/>
    <x v="8"/>
    <d v="2016-03-05T16:01:00"/>
    <x v="325"/>
    <x v="4"/>
    <x v="593"/>
    <n v="16"/>
    <x v="6"/>
    <x v="1"/>
    <x v="1"/>
    <x v="3"/>
    <x v="2"/>
  </r>
  <r>
    <n v="820443"/>
    <x v="0"/>
    <x v="4"/>
    <n v="18"/>
    <x v="8"/>
    <d v="2016-02-27T09:08:00"/>
    <x v="226"/>
    <x v="5"/>
    <x v="594"/>
    <n v="9"/>
    <x v="6"/>
    <x v="2"/>
    <x v="1"/>
    <x v="3"/>
    <x v="1"/>
  </r>
  <r>
    <n v="820443"/>
    <x v="0"/>
    <x v="4"/>
    <n v="18"/>
    <x v="8"/>
    <d v="2016-02-28T11:57:00"/>
    <x v="300"/>
    <x v="4"/>
    <x v="595"/>
    <n v="11"/>
    <x v="4"/>
    <x v="2"/>
    <x v="1"/>
    <x v="3"/>
    <x v="2"/>
  </r>
  <r>
    <n v="919220"/>
    <x v="0"/>
    <x v="0"/>
    <n v="22"/>
    <x v="0"/>
    <d v="2016-03-28T09:58:00"/>
    <x v="8"/>
    <x v="1"/>
    <x v="596"/>
    <n v="9"/>
    <x v="0"/>
    <x v="1"/>
    <x v="0"/>
    <x v="3"/>
    <x v="1"/>
  </r>
  <r>
    <n v="919222"/>
    <x v="0"/>
    <x v="4"/>
    <n v="26"/>
    <x v="6"/>
    <d v="2016-03-26T17:25:00"/>
    <x v="11"/>
    <x v="5"/>
    <x v="597"/>
    <n v="17"/>
    <x v="6"/>
    <x v="1"/>
    <x v="1"/>
    <x v="3"/>
    <x v="0"/>
  </r>
  <r>
    <n v="831788"/>
    <x v="0"/>
    <x v="0"/>
    <n v="46"/>
    <x v="0"/>
    <d v="2016-03-06T19:42:00"/>
    <x v="172"/>
    <x v="7"/>
    <x v="598"/>
    <n v="19"/>
    <x v="4"/>
    <x v="1"/>
    <x v="1"/>
    <x v="4"/>
    <x v="0"/>
  </r>
  <r>
    <n v="831788"/>
    <x v="0"/>
    <x v="0"/>
    <n v="46"/>
    <x v="0"/>
    <d v="2016-03-06T20:14:00"/>
    <x v="9"/>
    <x v="6"/>
    <x v="599"/>
    <n v="20"/>
    <x v="4"/>
    <x v="1"/>
    <x v="1"/>
    <x v="4"/>
    <x v="0"/>
  </r>
  <r>
    <n v="831788"/>
    <x v="0"/>
    <x v="0"/>
    <n v="46"/>
    <x v="0"/>
    <d v="2016-03-06T20:37:00"/>
    <x v="172"/>
    <x v="6"/>
    <x v="600"/>
    <n v="20"/>
    <x v="4"/>
    <x v="1"/>
    <x v="1"/>
    <x v="4"/>
    <x v="0"/>
  </r>
  <r>
    <n v="866231"/>
    <x v="0"/>
    <x v="0"/>
    <n v="35"/>
    <x v="0"/>
    <d v="2016-03-05T09:28:00"/>
    <x v="326"/>
    <x v="1"/>
    <x v="601"/>
    <n v="9"/>
    <x v="6"/>
    <x v="1"/>
    <x v="1"/>
    <x v="0"/>
    <x v="1"/>
  </r>
  <r>
    <n v="866231"/>
    <x v="0"/>
    <x v="0"/>
    <n v="35"/>
    <x v="0"/>
    <d v="2016-03-15T15:13:00"/>
    <x v="133"/>
    <x v="1"/>
    <x v="602"/>
    <n v="15"/>
    <x v="3"/>
    <x v="1"/>
    <x v="0"/>
    <x v="0"/>
    <x v="2"/>
  </r>
  <r>
    <n v="930066"/>
    <x v="0"/>
    <x v="2"/>
    <n v="32"/>
    <x v="3"/>
    <d v="2016-03-29T15:41:00"/>
    <x v="51"/>
    <x v="1"/>
    <x v="603"/>
    <n v="15"/>
    <x v="3"/>
    <x v="1"/>
    <x v="0"/>
    <x v="0"/>
    <x v="2"/>
  </r>
  <r>
    <n v="892557"/>
    <x v="0"/>
    <x v="4"/>
    <n v="20"/>
    <x v="2"/>
    <d v="2016-03-09T13:36:00"/>
    <x v="327"/>
    <x v="5"/>
    <x v="604"/>
    <n v="13"/>
    <x v="1"/>
    <x v="1"/>
    <x v="0"/>
    <x v="3"/>
    <x v="2"/>
  </r>
  <r>
    <n v="831789"/>
    <x v="0"/>
    <x v="0"/>
    <n v="28"/>
    <x v="0"/>
    <d v="2016-03-03T19:55:00"/>
    <x v="11"/>
    <x v="6"/>
    <x v="605"/>
    <n v="19"/>
    <x v="5"/>
    <x v="1"/>
    <x v="0"/>
    <x v="3"/>
    <x v="0"/>
  </r>
  <r>
    <n v="831789"/>
    <x v="0"/>
    <x v="0"/>
    <n v="28"/>
    <x v="0"/>
    <d v="2016-03-03T22:58:00"/>
    <x v="328"/>
    <x v="0"/>
    <x v="606"/>
    <n v="22"/>
    <x v="5"/>
    <x v="1"/>
    <x v="0"/>
    <x v="3"/>
    <x v="4"/>
  </r>
  <r>
    <n v="831789"/>
    <x v="0"/>
    <x v="0"/>
    <n v="28"/>
    <x v="0"/>
    <d v="2016-03-04T08:23:00"/>
    <x v="16"/>
    <x v="1"/>
    <x v="607"/>
    <n v="8"/>
    <x v="2"/>
    <x v="1"/>
    <x v="0"/>
    <x v="3"/>
    <x v="1"/>
  </r>
  <r>
    <n v="831789"/>
    <x v="0"/>
    <x v="0"/>
    <n v="28"/>
    <x v="0"/>
    <d v="2016-03-04T21:31:00"/>
    <x v="329"/>
    <x v="4"/>
    <x v="608"/>
    <n v="21"/>
    <x v="2"/>
    <x v="1"/>
    <x v="0"/>
    <x v="3"/>
    <x v="0"/>
  </r>
  <r>
    <n v="831789"/>
    <x v="0"/>
    <x v="0"/>
    <n v="28"/>
    <x v="0"/>
    <d v="2016-03-05T20:20:00"/>
    <x v="330"/>
    <x v="3"/>
    <x v="609"/>
    <n v="20"/>
    <x v="6"/>
    <x v="1"/>
    <x v="1"/>
    <x v="3"/>
    <x v="0"/>
  </r>
  <r>
    <n v="892558"/>
    <x v="2"/>
    <x v="4"/>
    <n v="29"/>
    <x v="2"/>
    <d v="2016-03-24T17:03:00"/>
    <x v="11"/>
    <x v="5"/>
    <x v="610"/>
    <n v="17"/>
    <x v="5"/>
    <x v="1"/>
    <x v="0"/>
    <x v="0"/>
    <x v="0"/>
  </r>
  <r>
    <n v="892558"/>
    <x v="2"/>
    <x v="4"/>
    <n v="29"/>
    <x v="2"/>
    <d v="2016-03-20T15:27:00"/>
    <x v="16"/>
    <x v="2"/>
    <x v="611"/>
    <n v="15"/>
    <x v="4"/>
    <x v="1"/>
    <x v="1"/>
    <x v="0"/>
    <x v="2"/>
  </r>
  <r>
    <n v="930067"/>
    <x v="0"/>
    <x v="2"/>
    <n v="32"/>
    <x v="4"/>
    <d v="2016-03-30T08:49:00"/>
    <x v="176"/>
    <x v="1"/>
    <x v="612"/>
    <n v="8"/>
    <x v="1"/>
    <x v="1"/>
    <x v="0"/>
    <x v="0"/>
    <x v="1"/>
  </r>
  <r>
    <n v="868982"/>
    <x v="0"/>
    <x v="4"/>
    <n v="23"/>
    <x v="2"/>
    <d v="2016-03-12T08:50:00"/>
    <x v="66"/>
    <x v="7"/>
    <x v="613"/>
    <n v="8"/>
    <x v="6"/>
    <x v="1"/>
    <x v="1"/>
    <x v="3"/>
    <x v="1"/>
  </r>
  <r>
    <n v="809028"/>
    <x v="0"/>
    <x v="3"/>
    <n v="32"/>
    <x v="4"/>
    <d v="2016-02-14T03:14:00"/>
    <x v="174"/>
    <x v="9"/>
    <x v="614"/>
    <n v="3"/>
    <x v="4"/>
    <x v="2"/>
    <x v="1"/>
    <x v="0"/>
    <x v="3"/>
  </r>
  <r>
    <n v="809028"/>
    <x v="0"/>
    <x v="3"/>
    <n v="32"/>
    <x v="4"/>
    <d v="2016-02-18T09:20:00"/>
    <x v="11"/>
    <x v="6"/>
    <x v="615"/>
    <n v="9"/>
    <x v="5"/>
    <x v="2"/>
    <x v="0"/>
    <x v="0"/>
    <x v="1"/>
  </r>
  <r>
    <n v="1445"/>
    <x v="0"/>
    <x v="0"/>
    <n v="13"/>
    <x v="9"/>
    <d v="2016-02-25T10:37:00"/>
    <x v="173"/>
    <x v="7"/>
    <x v="616"/>
    <n v="10"/>
    <x v="5"/>
    <x v="2"/>
    <x v="0"/>
    <x v="1"/>
    <x v="1"/>
  </r>
  <r>
    <n v="1445"/>
    <x v="0"/>
    <x v="0"/>
    <n v="13"/>
    <x v="9"/>
    <d v="2016-03-06T15:47:00"/>
    <x v="316"/>
    <x v="12"/>
    <x v="617"/>
    <n v="15"/>
    <x v="4"/>
    <x v="1"/>
    <x v="1"/>
    <x v="1"/>
    <x v="2"/>
  </r>
  <r>
    <n v="2023963"/>
    <x v="0"/>
    <x v="2"/>
    <n v="32"/>
    <x v="4"/>
    <d v="2016-03-04T19:34:00"/>
    <x v="11"/>
    <x v="7"/>
    <x v="618"/>
    <n v="19"/>
    <x v="2"/>
    <x v="1"/>
    <x v="0"/>
    <x v="0"/>
    <x v="0"/>
  </r>
  <r>
    <n v="880319"/>
    <x v="1"/>
    <x v="1"/>
    <n v="0"/>
    <x v="1"/>
    <d v="2016-03-30T11:07:00"/>
    <x v="331"/>
    <x v="1"/>
    <x v="619"/>
    <n v="11"/>
    <x v="1"/>
    <x v="1"/>
    <x v="0"/>
    <x v="1"/>
    <x v="2"/>
  </r>
  <r>
    <n v="868986"/>
    <x v="0"/>
    <x v="3"/>
    <n v="38"/>
    <x v="6"/>
    <d v="2016-03-15T07:30:00"/>
    <x v="11"/>
    <x v="12"/>
    <x v="620"/>
    <n v="7"/>
    <x v="3"/>
    <x v="1"/>
    <x v="0"/>
    <x v="0"/>
    <x v="1"/>
  </r>
  <r>
    <n v="868986"/>
    <x v="0"/>
    <x v="3"/>
    <n v="38"/>
    <x v="6"/>
    <d v="2016-03-15T13:53:00"/>
    <x v="332"/>
    <x v="1"/>
    <x v="621"/>
    <n v="13"/>
    <x v="3"/>
    <x v="1"/>
    <x v="0"/>
    <x v="0"/>
    <x v="2"/>
  </r>
  <r>
    <n v="939694"/>
    <x v="0"/>
    <x v="2"/>
    <n v="30"/>
    <x v="2"/>
    <d v="2016-03-23T18:55:00"/>
    <x v="199"/>
    <x v="12"/>
    <x v="622"/>
    <n v="18"/>
    <x v="1"/>
    <x v="1"/>
    <x v="0"/>
    <x v="0"/>
    <x v="0"/>
  </r>
  <r>
    <n v="939694"/>
    <x v="0"/>
    <x v="2"/>
    <n v="30"/>
    <x v="2"/>
    <d v="2016-03-27T12:24:00"/>
    <x v="177"/>
    <x v="7"/>
    <x v="623"/>
    <n v="12"/>
    <x v="4"/>
    <x v="1"/>
    <x v="1"/>
    <x v="0"/>
    <x v="2"/>
  </r>
  <r>
    <n v="370637"/>
    <x v="0"/>
    <x v="0"/>
    <n v="34"/>
    <x v="0"/>
    <d v="2016-01-18T13:58:00"/>
    <x v="333"/>
    <x v="6"/>
    <x v="624"/>
    <n v="13"/>
    <x v="0"/>
    <x v="0"/>
    <x v="0"/>
    <x v="0"/>
    <x v="2"/>
  </r>
  <r>
    <n v="808003"/>
    <x v="0"/>
    <x v="3"/>
    <n v="17"/>
    <x v="2"/>
    <d v="2016-02-28T08:25:00"/>
    <x v="242"/>
    <x v="4"/>
    <x v="625"/>
    <n v="8"/>
    <x v="4"/>
    <x v="2"/>
    <x v="1"/>
    <x v="1"/>
    <x v="1"/>
  </r>
  <r>
    <n v="805455"/>
    <x v="2"/>
    <x v="4"/>
    <n v="28"/>
    <x v="6"/>
    <d v="2016-02-23T12:09:00"/>
    <x v="11"/>
    <x v="0"/>
    <x v="626"/>
    <n v="12"/>
    <x v="3"/>
    <x v="2"/>
    <x v="0"/>
    <x v="3"/>
    <x v="2"/>
  </r>
  <r>
    <n v="939695"/>
    <x v="2"/>
    <x v="4"/>
    <n v="31"/>
    <x v="2"/>
    <d v="2016-01-01T14:03:00"/>
    <x v="334"/>
    <x v="5"/>
    <x v="627"/>
    <n v="14"/>
    <x v="2"/>
    <x v="0"/>
    <x v="0"/>
    <x v="0"/>
    <x v="2"/>
  </r>
  <r>
    <n v="939695"/>
    <x v="2"/>
    <x v="4"/>
    <n v="31"/>
    <x v="2"/>
    <d v="2016-01-09T18:03:00"/>
    <x v="36"/>
    <x v="4"/>
    <x v="628"/>
    <n v="18"/>
    <x v="6"/>
    <x v="0"/>
    <x v="1"/>
    <x v="0"/>
    <x v="0"/>
  </r>
  <r>
    <n v="939695"/>
    <x v="2"/>
    <x v="4"/>
    <n v="31"/>
    <x v="2"/>
    <d v="2016-01-14T16:16:00"/>
    <x v="335"/>
    <x v="12"/>
    <x v="629"/>
    <n v="16"/>
    <x v="5"/>
    <x v="0"/>
    <x v="0"/>
    <x v="0"/>
    <x v="2"/>
  </r>
  <r>
    <n v="919229"/>
    <x v="0"/>
    <x v="1"/>
    <n v="32"/>
    <x v="6"/>
    <d v="2016-03-29T08:55:00"/>
    <x v="336"/>
    <x v="1"/>
    <x v="630"/>
    <n v="8"/>
    <x v="3"/>
    <x v="1"/>
    <x v="0"/>
    <x v="0"/>
    <x v="1"/>
  </r>
  <r>
    <n v="919229"/>
    <x v="0"/>
    <x v="1"/>
    <n v="32"/>
    <x v="6"/>
    <d v="2016-03-29T10:42:00"/>
    <x v="147"/>
    <x v="1"/>
    <x v="631"/>
    <n v="10"/>
    <x v="3"/>
    <x v="1"/>
    <x v="0"/>
    <x v="0"/>
    <x v="1"/>
  </r>
  <r>
    <n v="793670"/>
    <x v="0"/>
    <x v="0"/>
    <n v="44"/>
    <x v="0"/>
    <d v="2016-01-17T19:43:00"/>
    <x v="166"/>
    <x v="5"/>
    <x v="632"/>
    <n v="19"/>
    <x v="4"/>
    <x v="0"/>
    <x v="1"/>
    <x v="4"/>
    <x v="0"/>
  </r>
  <r>
    <n v="793670"/>
    <x v="0"/>
    <x v="0"/>
    <n v="44"/>
    <x v="0"/>
    <d v="2016-01-29T16:37:00"/>
    <x v="337"/>
    <x v="7"/>
    <x v="633"/>
    <n v="16"/>
    <x v="2"/>
    <x v="0"/>
    <x v="0"/>
    <x v="4"/>
    <x v="2"/>
  </r>
  <r>
    <n v="793670"/>
    <x v="0"/>
    <x v="0"/>
    <n v="44"/>
    <x v="0"/>
    <d v="2016-01-18T15:16:00"/>
    <x v="74"/>
    <x v="12"/>
    <x v="634"/>
    <n v="15"/>
    <x v="0"/>
    <x v="0"/>
    <x v="0"/>
    <x v="4"/>
    <x v="2"/>
  </r>
  <r>
    <n v="793670"/>
    <x v="0"/>
    <x v="0"/>
    <n v="44"/>
    <x v="0"/>
    <d v="2016-01-15T11:02:00"/>
    <x v="338"/>
    <x v="3"/>
    <x v="635"/>
    <n v="11"/>
    <x v="2"/>
    <x v="0"/>
    <x v="0"/>
    <x v="4"/>
    <x v="2"/>
  </r>
  <r>
    <n v="2359771"/>
    <x v="0"/>
    <x v="2"/>
    <n v="35"/>
    <x v="4"/>
    <d v="2016-01-16T07:57:00"/>
    <x v="62"/>
    <x v="6"/>
    <x v="636"/>
    <n v="7"/>
    <x v="6"/>
    <x v="0"/>
    <x v="1"/>
    <x v="0"/>
    <x v="1"/>
  </r>
  <r>
    <n v="2359771"/>
    <x v="0"/>
    <x v="2"/>
    <n v="35"/>
    <x v="4"/>
    <d v="2016-01-22T10:21:00"/>
    <x v="339"/>
    <x v="0"/>
    <x v="637"/>
    <n v="10"/>
    <x v="2"/>
    <x v="0"/>
    <x v="0"/>
    <x v="0"/>
    <x v="1"/>
  </r>
  <r>
    <n v="2359771"/>
    <x v="0"/>
    <x v="2"/>
    <n v="35"/>
    <x v="4"/>
    <d v="2016-01-20T07:52:00"/>
    <x v="340"/>
    <x v="0"/>
    <x v="638"/>
    <n v="7"/>
    <x v="1"/>
    <x v="0"/>
    <x v="0"/>
    <x v="0"/>
    <x v="1"/>
  </r>
  <r>
    <n v="2359771"/>
    <x v="0"/>
    <x v="2"/>
    <n v="35"/>
    <x v="4"/>
    <d v="2016-01-16T15:42:00"/>
    <x v="341"/>
    <x v="6"/>
    <x v="639"/>
    <n v="15"/>
    <x v="6"/>
    <x v="0"/>
    <x v="1"/>
    <x v="0"/>
    <x v="2"/>
  </r>
  <r>
    <n v="809034"/>
    <x v="0"/>
    <x v="4"/>
    <n v="61"/>
    <x v="2"/>
    <d v="2016-03-03T05:39:00"/>
    <x v="342"/>
    <x v="1"/>
    <x v="640"/>
    <n v="5"/>
    <x v="5"/>
    <x v="1"/>
    <x v="0"/>
    <x v="5"/>
    <x v="1"/>
  </r>
  <r>
    <n v="809034"/>
    <x v="0"/>
    <x v="4"/>
    <n v="61"/>
    <x v="2"/>
    <d v="2016-03-01T04:22:00"/>
    <x v="343"/>
    <x v="4"/>
    <x v="641"/>
    <n v="4"/>
    <x v="3"/>
    <x v="1"/>
    <x v="0"/>
    <x v="5"/>
    <x v="3"/>
  </r>
  <r>
    <n v="793672"/>
    <x v="2"/>
    <x v="4"/>
    <n v="31"/>
    <x v="4"/>
    <d v="2016-01-21T16:30:00"/>
    <x v="44"/>
    <x v="11"/>
    <x v="642"/>
    <n v="16"/>
    <x v="5"/>
    <x v="0"/>
    <x v="0"/>
    <x v="0"/>
    <x v="2"/>
  </r>
  <r>
    <n v="2090555"/>
    <x v="0"/>
    <x v="2"/>
    <n v="27"/>
    <x v="2"/>
    <d v="2016-03-13T17:39:00"/>
    <x v="53"/>
    <x v="8"/>
    <x v="643"/>
    <n v="17"/>
    <x v="4"/>
    <x v="1"/>
    <x v="1"/>
    <x v="3"/>
    <x v="0"/>
  </r>
  <r>
    <n v="2090555"/>
    <x v="0"/>
    <x v="2"/>
    <n v="27"/>
    <x v="2"/>
    <d v="2016-03-14T15:47:00"/>
    <x v="164"/>
    <x v="1"/>
    <x v="644"/>
    <n v="15"/>
    <x v="0"/>
    <x v="1"/>
    <x v="0"/>
    <x v="3"/>
    <x v="2"/>
  </r>
  <r>
    <n v="2090555"/>
    <x v="0"/>
    <x v="2"/>
    <n v="27"/>
    <x v="2"/>
    <d v="2016-03-19T10:54:00"/>
    <x v="144"/>
    <x v="1"/>
    <x v="645"/>
    <n v="10"/>
    <x v="6"/>
    <x v="1"/>
    <x v="1"/>
    <x v="3"/>
    <x v="1"/>
  </r>
  <r>
    <n v="2090555"/>
    <x v="0"/>
    <x v="2"/>
    <n v="27"/>
    <x v="2"/>
    <d v="2016-03-30T08:49:00"/>
    <x v="141"/>
    <x v="1"/>
    <x v="612"/>
    <n v="8"/>
    <x v="1"/>
    <x v="1"/>
    <x v="0"/>
    <x v="3"/>
    <x v="1"/>
  </r>
  <r>
    <n v="809035"/>
    <x v="0"/>
    <x v="2"/>
    <n v="42"/>
    <x v="2"/>
    <d v="2016-02-22T16:43:00"/>
    <x v="103"/>
    <x v="1"/>
    <x v="646"/>
    <n v="16"/>
    <x v="0"/>
    <x v="2"/>
    <x v="0"/>
    <x v="4"/>
    <x v="2"/>
  </r>
  <r>
    <n v="809035"/>
    <x v="0"/>
    <x v="2"/>
    <n v="42"/>
    <x v="2"/>
    <d v="2016-01-08T03:47:00"/>
    <x v="344"/>
    <x v="6"/>
    <x v="647"/>
    <n v="3"/>
    <x v="2"/>
    <x v="0"/>
    <x v="0"/>
    <x v="4"/>
    <x v="3"/>
  </r>
  <r>
    <n v="809035"/>
    <x v="0"/>
    <x v="2"/>
    <n v="42"/>
    <x v="2"/>
    <d v="2016-01-29T19:46:00"/>
    <x v="102"/>
    <x v="7"/>
    <x v="648"/>
    <n v="19"/>
    <x v="2"/>
    <x v="0"/>
    <x v="0"/>
    <x v="4"/>
    <x v="0"/>
  </r>
  <r>
    <n v="809035"/>
    <x v="0"/>
    <x v="2"/>
    <n v="42"/>
    <x v="2"/>
    <d v="2016-03-03T04:41:00"/>
    <x v="224"/>
    <x v="1"/>
    <x v="649"/>
    <n v="4"/>
    <x v="5"/>
    <x v="1"/>
    <x v="0"/>
    <x v="4"/>
    <x v="3"/>
  </r>
  <r>
    <n v="939699"/>
    <x v="0"/>
    <x v="1"/>
    <n v="36"/>
    <x v="0"/>
    <d v="2016-03-01T12:55:00"/>
    <x v="69"/>
    <x v="4"/>
    <x v="650"/>
    <n v="12"/>
    <x v="3"/>
    <x v="1"/>
    <x v="0"/>
    <x v="0"/>
    <x v="2"/>
  </r>
  <r>
    <n v="597268"/>
    <x v="0"/>
    <x v="4"/>
    <n v="28"/>
    <x v="3"/>
    <d v="2016-01-06T06:28:00"/>
    <x v="345"/>
    <x v="0"/>
    <x v="651"/>
    <n v="6"/>
    <x v="1"/>
    <x v="0"/>
    <x v="0"/>
    <x v="3"/>
    <x v="1"/>
  </r>
  <r>
    <n v="597268"/>
    <x v="0"/>
    <x v="4"/>
    <n v="28"/>
    <x v="3"/>
    <d v="2016-01-08T12:44:00"/>
    <x v="16"/>
    <x v="7"/>
    <x v="652"/>
    <n v="12"/>
    <x v="2"/>
    <x v="0"/>
    <x v="0"/>
    <x v="3"/>
    <x v="2"/>
  </r>
  <r>
    <n v="597268"/>
    <x v="0"/>
    <x v="4"/>
    <n v="28"/>
    <x v="3"/>
    <d v="2016-01-06T08:33:00"/>
    <x v="104"/>
    <x v="4"/>
    <x v="653"/>
    <n v="8"/>
    <x v="1"/>
    <x v="0"/>
    <x v="0"/>
    <x v="3"/>
    <x v="1"/>
  </r>
  <r>
    <n v="597268"/>
    <x v="0"/>
    <x v="4"/>
    <n v="28"/>
    <x v="3"/>
    <d v="2016-01-08T12:46:00"/>
    <x v="223"/>
    <x v="4"/>
    <x v="654"/>
    <n v="12"/>
    <x v="2"/>
    <x v="0"/>
    <x v="0"/>
    <x v="3"/>
    <x v="2"/>
  </r>
  <r>
    <n v="597268"/>
    <x v="0"/>
    <x v="4"/>
    <n v="28"/>
    <x v="3"/>
    <d v="2016-01-08T18:59:00"/>
    <x v="346"/>
    <x v="15"/>
    <x v="655"/>
    <n v="18"/>
    <x v="2"/>
    <x v="0"/>
    <x v="0"/>
    <x v="3"/>
    <x v="0"/>
  </r>
  <r>
    <n v="597268"/>
    <x v="0"/>
    <x v="4"/>
    <n v="28"/>
    <x v="3"/>
    <d v="2016-01-10T15:02:00"/>
    <x v="347"/>
    <x v="4"/>
    <x v="656"/>
    <n v="15"/>
    <x v="4"/>
    <x v="0"/>
    <x v="1"/>
    <x v="3"/>
    <x v="2"/>
  </r>
  <r>
    <n v="597268"/>
    <x v="0"/>
    <x v="4"/>
    <n v="28"/>
    <x v="3"/>
    <d v="2016-01-05T20:13:00"/>
    <x v="348"/>
    <x v="0"/>
    <x v="657"/>
    <n v="20"/>
    <x v="3"/>
    <x v="0"/>
    <x v="0"/>
    <x v="3"/>
    <x v="0"/>
  </r>
  <r>
    <n v="597268"/>
    <x v="0"/>
    <x v="4"/>
    <n v="28"/>
    <x v="3"/>
    <d v="2016-01-08T07:26:00"/>
    <x v="16"/>
    <x v="6"/>
    <x v="658"/>
    <n v="7"/>
    <x v="2"/>
    <x v="0"/>
    <x v="0"/>
    <x v="3"/>
    <x v="1"/>
  </r>
  <r>
    <n v="882376"/>
    <x v="0"/>
    <x v="3"/>
    <n v="54"/>
    <x v="2"/>
    <d v="2016-03-19T14:14:00"/>
    <x v="30"/>
    <x v="6"/>
    <x v="659"/>
    <n v="14"/>
    <x v="6"/>
    <x v="1"/>
    <x v="1"/>
    <x v="2"/>
    <x v="2"/>
  </r>
  <r>
    <n v="866244"/>
    <x v="0"/>
    <x v="4"/>
    <n v="26"/>
    <x v="0"/>
    <d v="2016-02-21T06:31:00"/>
    <x v="26"/>
    <x v="4"/>
    <x v="660"/>
    <n v="6"/>
    <x v="4"/>
    <x v="2"/>
    <x v="1"/>
    <x v="3"/>
    <x v="1"/>
  </r>
  <r>
    <n v="866244"/>
    <x v="0"/>
    <x v="4"/>
    <n v="26"/>
    <x v="0"/>
    <d v="2016-02-20T13:02:00"/>
    <x v="144"/>
    <x v="7"/>
    <x v="661"/>
    <n v="13"/>
    <x v="6"/>
    <x v="2"/>
    <x v="1"/>
    <x v="3"/>
    <x v="2"/>
  </r>
  <r>
    <n v="866244"/>
    <x v="0"/>
    <x v="4"/>
    <n v="26"/>
    <x v="0"/>
    <d v="2016-02-20T13:03:00"/>
    <x v="33"/>
    <x v="6"/>
    <x v="662"/>
    <n v="13"/>
    <x v="6"/>
    <x v="2"/>
    <x v="1"/>
    <x v="3"/>
    <x v="2"/>
  </r>
  <r>
    <n v="866244"/>
    <x v="0"/>
    <x v="4"/>
    <n v="26"/>
    <x v="0"/>
    <d v="2016-02-21T07:20:00"/>
    <x v="347"/>
    <x v="4"/>
    <x v="663"/>
    <n v="7"/>
    <x v="4"/>
    <x v="2"/>
    <x v="1"/>
    <x v="3"/>
    <x v="1"/>
  </r>
  <r>
    <n v="866244"/>
    <x v="0"/>
    <x v="4"/>
    <n v="26"/>
    <x v="0"/>
    <d v="2016-03-25T19:36:00"/>
    <x v="11"/>
    <x v="7"/>
    <x v="664"/>
    <n v="19"/>
    <x v="2"/>
    <x v="1"/>
    <x v="0"/>
    <x v="3"/>
    <x v="0"/>
  </r>
  <r>
    <n v="866244"/>
    <x v="0"/>
    <x v="4"/>
    <n v="26"/>
    <x v="0"/>
    <d v="2016-03-24T10:02:00"/>
    <x v="349"/>
    <x v="6"/>
    <x v="665"/>
    <n v="10"/>
    <x v="5"/>
    <x v="1"/>
    <x v="0"/>
    <x v="3"/>
    <x v="1"/>
  </r>
  <r>
    <n v="788744"/>
    <x v="0"/>
    <x v="0"/>
    <n v="23"/>
    <x v="0"/>
    <d v="2016-01-14T23:09:00"/>
    <x v="350"/>
    <x v="7"/>
    <x v="666"/>
    <n v="23"/>
    <x v="5"/>
    <x v="0"/>
    <x v="0"/>
    <x v="3"/>
    <x v="4"/>
  </r>
  <r>
    <n v="788744"/>
    <x v="0"/>
    <x v="0"/>
    <n v="23"/>
    <x v="0"/>
    <d v="2016-01-18T09:35:00"/>
    <x v="68"/>
    <x v="6"/>
    <x v="667"/>
    <n v="9"/>
    <x v="0"/>
    <x v="0"/>
    <x v="0"/>
    <x v="3"/>
    <x v="1"/>
  </r>
  <r>
    <n v="771902"/>
    <x v="0"/>
    <x v="4"/>
    <n v="24"/>
    <x v="2"/>
    <d v="2016-01-15T18:35:00"/>
    <x v="233"/>
    <x v="11"/>
    <x v="668"/>
    <n v="18"/>
    <x v="2"/>
    <x v="0"/>
    <x v="0"/>
    <x v="3"/>
    <x v="0"/>
  </r>
  <r>
    <n v="771903"/>
    <x v="0"/>
    <x v="1"/>
    <n v="28"/>
    <x v="2"/>
    <d v="2016-03-27T15:12:00"/>
    <x v="250"/>
    <x v="6"/>
    <x v="669"/>
    <n v="15"/>
    <x v="4"/>
    <x v="1"/>
    <x v="1"/>
    <x v="3"/>
    <x v="2"/>
  </r>
  <r>
    <n v="747690"/>
    <x v="2"/>
    <x v="4"/>
    <n v="29"/>
    <x v="2"/>
    <d v="2016-01-16T18:49:00"/>
    <x v="22"/>
    <x v="0"/>
    <x v="670"/>
    <n v="18"/>
    <x v="6"/>
    <x v="0"/>
    <x v="1"/>
    <x v="0"/>
    <x v="0"/>
  </r>
  <r>
    <n v="779485"/>
    <x v="0"/>
    <x v="4"/>
    <n v="25"/>
    <x v="8"/>
    <d v="2016-02-02T09:23:00"/>
    <x v="32"/>
    <x v="3"/>
    <x v="671"/>
    <n v="9"/>
    <x v="3"/>
    <x v="2"/>
    <x v="0"/>
    <x v="3"/>
    <x v="1"/>
  </r>
  <r>
    <n v="779485"/>
    <x v="0"/>
    <x v="4"/>
    <n v="25"/>
    <x v="8"/>
    <d v="2016-02-02T15:20:00"/>
    <x v="351"/>
    <x v="0"/>
    <x v="672"/>
    <n v="15"/>
    <x v="3"/>
    <x v="2"/>
    <x v="0"/>
    <x v="3"/>
    <x v="2"/>
  </r>
  <r>
    <n v="779485"/>
    <x v="0"/>
    <x v="4"/>
    <n v="25"/>
    <x v="8"/>
    <d v="2016-02-04T21:35:00"/>
    <x v="109"/>
    <x v="14"/>
    <x v="673"/>
    <n v="21"/>
    <x v="5"/>
    <x v="2"/>
    <x v="0"/>
    <x v="3"/>
    <x v="0"/>
  </r>
  <r>
    <n v="779485"/>
    <x v="0"/>
    <x v="4"/>
    <n v="25"/>
    <x v="8"/>
    <d v="2016-01-06T09:34:00"/>
    <x v="284"/>
    <x v="3"/>
    <x v="674"/>
    <n v="9"/>
    <x v="1"/>
    <x v="0"/>
    <x v="0"/>
    <x v="3"/>
    <x v="1"/>
  </r>
  <r>
    <n v="779485"/>
    <x v="0"/>
    <x v="4"/>
    <n v="25"/>
    <x v="8"/>
    <d v="2016-01-02T06:46:00"/>
    <x v="223"/>
    <x v="4"/>
    <x v="675"/>
    <n v="6"/>
    <x v="6"/>
    <x v="0"/>
    <x v="1"/>
    <x v="3"/>
    <x v="1"/>
  </r>
  <r>
    <n v="779485"/>
    <x v="0"/>
    <x v="4"/>
    <n v="25"/>
    <x v="8"/>
    <d v="2016-01-30T10:38:00"/>
    <x v="352"/>
    <x v="4"/>
    <x v="676"/>
    <n v="10"/>
    <x v="6"/>
    <x v="0"/>
    <x v="1"/>
    <x v="3"/>
    <x v="1"/>
  </r>
  <r>
    <n v="779485"/>
    <x v="0"/>
    <x v="4"/>
    <n v="25"/>
    <x v="8"/>
    <d v="2016-01-29T11:29:00"/>
    <x v="353"/>
    <x v="7"/>
    <x v="677"/>
    <n v="11"/>
    <x v="2"/>
    <x v="0"/>
    <x v="0"/>
    <x v="3"/>
    <x v="2"/>
  </r>
  <r>
    <n v="736517"/>
    <x v="0"/>
    <x v="4"/>
    <n v="39"/>
    <x v="5"/>
    <d v="2016-01-24T10:04:00"/>
    <x v="11"/>
    <x v="11"/>
    <x v="678"/>
    <n v="10"/>
    <x v="4"/>
    <x v="0"/>
    <x v="1"/>
    <x v="4"/>
    <x v="1"/>
  </r>
  <r>
    <n v="736517"/>
    <x v="0"/>
    <x v="4"/>
    <n v="39"/>
    <x v="5"/>
    <d v="2016-01-24T08:15:00"/>
    <x v="354"/>
    <x v="11"/>
    <x v="679"/>
    <n v="8"/>
    <x v="4"/>
    <x v="0"/>
    <x v="1"/>
    <x v="4"/>
    <x v="1"/>
  </r>
  <r>
    <n v="779486"/>
    <x v="0"/>
    <x v="4"/>
    <n v="36"/>
    <x v="2"/>
    <d v="2016-01-09T03:28:00"/>
    <x v="50"/>
    <x v="7"/>
    <x v="680"/>
    <n v="3"/>
    <x v="6"/>
    <x v="0"/>
    <x v="1"/>
    <x v="0"/>
    <x v="3"/>
  </r>
  <r>
    <n v="939702"/>
    <x v="0"/>
    <x v="1"/>
    <n v="37"/>
    <x v="0"/>
    <d v="2016-03-04T19:02:00"/>
    <x v="355"/>
    <x v="3"/>
    <x v="681"/>
    <n v="19"/>
    <x v="2"/>
    <x v="1"/>
    <x v="0"/>
    <x v="0"/>
    <x v="0"/>
  </r>
  <r>
    <n v="764429"/>
    <x v="0"/>
    <x v="3"/>
    <n v="22"/>
    <x v="0"/>
    <d v="2016-01-06T19:23:00"/>
    <x v="356"/>
    <x v="0"/>
    <x v="682"/>
    <n v="19"/>
    <x v="1"/>
    <x v="0"/>
    <x v="0"/>
    <x v="3"/>
    <x v="0"/>
  </r>
  <r>
    <n v="764429"/>
    <x v="0"/>
    <x v="3"/>
    <n v="22"/>
    <x v="0"/>
    <d v="2016-02-27T19:44:00"/>
    <x v="47"/>
    <x v="14"/>
    <x v="683"/>
    <n v="19"/>
    <x v="6"/>
    <x v="2"/>
    <x v="1"/>
    <x v="3"/>
    <x v="0"/>
  </r>
  <r>
    <n v="742848"/>
    <x v="0"/>
    <x v="4"/>
    <n v="25"/>
    <x v="3"/>
    <d v="2016-02-03T04:59:00"/>
    <x v="277"/>
    <x v="12"/>
    <x v="684"/>
    <n v="4"/>
    <x v="1"/>
    <x v="2"/>
    <x v="0"/>
    <x v="3"/>
    <x v="3"/>
  </r>
  <r>
    <n v="742848"/>
    <x v="0"/>
    <x v="4"/>
    <n v="25"/>
    <x v="3"/>
    <d v="2016-01-27T04:15:00"/>
    <x v="61"/>
    <x v="4"/>
    <x v="685"/>
    <n v="4"/>
    <x v="1"/>
    <x v="0"/>
    <x v="0"/>
    <x v="3"/>
    <x v="3"/>
  </r>
  <r>
    <n v="742848"/>
    <x v="0"/>
    <x v="4"/>
    <n v="25"/>
    <x v="3"/>
    <d v="2016-02-09T19:10:00"/>
    <x v="8"/>
    <x v="7"/>
    <x v="686"/>
    <n v="19"/>
    <x v="3"/>
    <x v="2"/>
    <x v="0"/>
    <x v="3"/>
    <x v="0"/>
  </r>
  <r>
    <n v="859379"/>
    <x v="0"/>
    <x v="0"/>
    <n v="20"/>
    <x v="2"/>
    <d v="2016-03-11T07:38:00"/>
    <x v="357"/>
    <x v="6"/>
    <x v="687"/>
    <n v="7"/>
    <x v="2"/>
    <x v="1"/>
    <x v="0"/>
    <x v="3"/>
    <x v="1"/>
  </r>
  <r>
    <n v="2285664"/>
    <x v="0"/>
    <x v="2"/>
    <n v="28"/>
    <x v="5"/>
    <d v="2016-03-25T07:26:00"/>
    <x v="11"/>
    <x v="7"/>
    <x v="688"/>
    <n v="7"/>
    <x v="2"/>
    <x v="1"/>
    <x v="0"/>
    <x v="3"/>
    <x v="1"/>
  </r>
  <r>
    <n v="2285664"/>
    <x v="0"/>
    <x v="2"/>
    <n v="28"/>
    <x v="5"/>
    <d v="2016-03-26T10:02:00"/>
    <x v="358"/>
    <x v="1"/>
    <x v="689"/>
    <n v="10"/>
    <x v="6"/>
    <x v="1"/>
    <x v="1"/>
    <x v="3"/>
    <x v="1"/>
  </r>
  <r>
    <n v="777129"/>
    <x v="0"/>
    <x v="3"/>
    <n v="31"/>
    <x v="8"/>
    <d v="2016-01-10T19:09:00"/>
    <x v="30"/>
    <x v="0"/>
    <x v="690"/>
    <n v="19"/>
    <x v="4"/>
    <x v="0"/>
    <x v="1"/>
    <x v="0"/>
    <x v="0"/>
  </r>
  <r>
    <n v="771907"/>
    <x v="0"/>
    <x v="4"/>
    <n v="41"/>
    <x v="4"/>
    <d v="2016-02-09T17:45:00"/>
    <x v="359"/>
    <x v="0"/>
    <x v="691"/>
    <n v="17"/>
    <x v="3"/>
    <x v="2"/>
    <x v="0"/>
    <x v="4"/>
    <x v="0"/>
  </r>
  <r>
    <n v="720398"/>
    <x v="2"/>
    <x v="0"/>
    <n v="28"/>
    <x v="2"/>
    <d v="2016-01-20T17:22:00"/>
    <x v="360"/>
    <x v="15"/>
    <x v="692"/>
    <n v="17"/>
    <x v="1"/>
    <x v="0"/>
    <x v="0"/>
    <x v="3"/>
    <x v="0"/>
  </r>
  <r>
    <n v="819332"/>
    <x v="0"/>
    <x v="3"/>
    <n v="62"/>
    <x v="2"/>
    <d v="2016-03-06T20:44:00"/>
    <x v="144"/>
    <x v="3"/>
    <x v="693"/>
    <n v="20"/>
    <x v="4"/>
    <x v="1"/>
    <x v="1"/>
    <x v="5"/>
    <x v="0"/>
  </r>
  <r>
    <n v="771048"/>
    <x v="0"/>
    <x v="1"/>
    <n v="19"/>
    <x v="2"/>
    <d v="2016-02-05T21:58:00"/>
    <x v="204"/>
    <x v="5"/>
    <x v="694"/>
    <n v="21"/>
    <x v="2"/>
    <x v="2"/>
    <x v="0"/>
    <x v="3"/>
    <x v="0"/>
  </r>
  <r>
    <n v="771048"/>
    <x v="0"/>
    <x v="1"/>
    <n v="19"/>
    <x v="2"/>
    <d v="2016-02-06T20:34:00"/>
    <x v="247"/>
    <x v="7"/>
    <x v="695"/>
    <n v="20"/>
    <x v="6"/>
    <x v="2"/>
    <x v="1"/>
    <x v="3"/>
    <x v="0"/>
  </r>
  <r>
    <n v="820456"/>
    <x v="0"/>
    <x v="4"/>
    <n v="42"/>
    <x v="2"/>
    <d v="2016-01-27T15:30:00"/>
    <x v="138"/>
    <x v="7"/>
    <x v="696"/>
    <n v="15"/>
    <x v="1"/>
    <x v="0"/>
    <x v="0"/>
    <x v="4"/>
    <x v="2"/>
  </r>
  <r>
    <n v="809039"/>
    <x v="0"/>
    <x v="3"/>
    <n v="43"/>
    <x v="5"/>
    <d v="2016-02-19T17:25:00"/>
    <x v="172"/>
    <x v="3"/>
    <x v="697"/>
    <n v="17"/>
    <x v="2"/>
    <x v="2"/>
    <x v="0"/>
    <x v="4"/>
    <x v="0"/>
  </r>
  <r>
    <n v="809039"/>
    <x v="0"/>
    <x v="3"/>
    <n v="43"/>
    <x v="5"/>
    <d v="2016-02-19T17:26:00"/>
    <x v="35"/>
    <x v="6"/>
    <x v="698"/>
    <n v="17"/>
    <x v="2"/>
    <x v="2"/>
    <x v="0"/>
    <x v="4"/>
    <x v="0"/>
  </r>
  <r>
    <n v="809039"/>
    <x v="0"/>
    <x v="3"/>
    <n v="43"/>
    <x v="5"/>
    <d v="2016-02-19T17:57:00"/>
    <x v="18"/>
    <x v="6"/>
    <x v="699"/>
    <n v="17"/>
    <x v="2"/>
    <x v="2"/>
    <x v="0"/>
    <x v="4"/>
    <x v="0"/>
  </r>
  <r>
    <n v="865408"/>
    <x v="0"/>
    <x v="4"/>
    <n v="37"/>
    <x v="8"/>
    <d v="2016-03-16T17:59:00"/>
    <x v="8"/>
    <x v="7"/>
    <x v="700"/>
    <n v="17"/>
    <x v="1"/>
    <x v="1"/>
    <x v="0"/>
    <x v="0"/>
    <x v="0"/>
  </r>
  <r>
    <n v="831810"/>
    <x v="0"/>
    <x v="2"/>
    <n v="24"/>
    <x v="4"/>
    <d v="2016-03-02T12:01:00"/>
    <x v="108"/>
    <x v="0"/>
    <x v="701"/>
    <n v="12"/>
    <x v="1"/>
    <x v="1"/>
    <x v="0"/>
    <x v="3"/>
    <x v="2"/>
  </r>
  <r>
    <n v="831810"/>
    <x v="0"/>
    <x v="2"/>
    <n v="24"/>
    <x v="4"/>
    <d v="2016-03-06T12:12:00"/>
    <x v="361"/>
    <x v="3"/>
    <x v="702"/>
    <n v="12"/>
    <x v="4"/>
    <x v="1"/>
    <x v="1"/>
    <x v="3"/>
    <x v="2"/>
  </r>
  <r>
    <n v="904273"/>
    <x v="0"/>
    <x v="3"/>
    <n v="31"/>
    <x v="2"/>
    <d v="2016-03-24T05:45:00"/>
    <x v="45"/>
    <x v="3"/>
    <x v="703"/>
    <n v="5"/>
    <x v="5"/>
    <x v="1"/>
    <x v="0"/>
    <x v="0"/>
    <x v="1"/>
  </r>
  <r>
    <n v="904274"/>
    <x v="0"/>
    <x v="1"/>
    <n v="23"/>
    <x v="2"/>
    <d v="2016-03-31T08:04:00"/>
    <x v="300"/>
    <x v="11"/>
    <x v="704"/>
    <n v="8"/>
    <x v="5"/>
    <x v="1"/>
    <x v="0"/>
    <x v="3"/>
    <x v="1"/>
  </r>
  <r>
    <n v="904274"/>
    <x v="0"/>
    <x v="1"/>
    <n v="23"/>
    <x v="2"/>
    <d v="2016-03-30T12:06:00"/>
    <x v="362"/>
    <x v="1"/>
    <x v="705"/>
    <n v="12"/>
    <x v="1"/>
    <x v="1"/>
    <x v="0"/>
    <x v="3"/>
    <x v="2"/>
  </r>
  <r>
    <n v="904274"/>
    <x v="0"/>
    <x v="1"/>
    <n v="23"/>
    <x v="2"/>
    <d v="2016-03-30T11:57:00"/>
    <x v="363"/>
    <x v="1"/>
    <x v="706"/>
    <n v="11"/>
    <x v="1"/>
    <x v="1"/>
    <x v="0"/>
    <x v="3"/>
    <x v="2"/>
  </r>
  <r>
    <n v="866251"/>
    <x v="0"/>
    <x v="4"/>
    <n v="30"/>
    <x v="2"/>
    <d v="2016-03-03T18:32:00"/>
    <x v="364"/>
    <x v="0"/>
    <x v="707"/>
    <n v="18"/>
    <x v="5"/>
    <x v="1"/>
    <x v="0"/>
    <x v="0"/>
    <x v="0"/>
  </r>
  <r>
    <n v="2420980"/>
    <x v="0"/>
    <x v="4"/>
    <n v="43"/>
    <x v="4"/>
    <d v="2016-03-21T09:48:00"/>
    <x v="233"/>
    <x v="3"/>
    <x v="708"/>
    <n v="9"/>
    <x v="0"/>
    <x v="1"/>
    <x v="0"/>
    <x v="4"/>
    <x v="1"/>
  </r>
  <r>
    <n v="788751"/>
    <x v="0"/>
    <x v="0"/>
    <n v="26"/>
    <x v="0"/>
    <d v="2016-02-01T21:35:00"/>
    <x v="365"/>
    <x v="7"/>
    <x v="709"/>
    <n v="21"/>
    <x v="0"/>
    <x v="2"/>
    <x v="0"/>
    <x v="3"/>
    <x v="0"/>
  </r>
  <r>
    <n v="892573"/>
    <x v="0"/>
    <x v="1"/>
    <n v="47"/>
    <x v="5"/>
    <d v="2016-03-19T16:53:00"/>
    <x v="172"/>
    <x v="7"/>
    <x v="710"/>
    <n v="16"/>
    <x v="6"/>
    <x v="1"/>
    <x v="1"/>
    <x v="4"/>
    <x v="2"/>
  </r>
  <r>
    <n v="809043"/>
    <x v="0"/>
    <x v="4"/>
    <n v="34"/>
    <x v="2"/>
    <d v="2016-02-19T04:10:00"/>
    <x v="366"/>
    <x v="0"/>
    <x v="711"/>
    <n v="4"/>
    <x v="2"/>
    <x v="2"/>
    <x v="0"/>
    <x v="0"/>
    <x v="3"/>
  </r>
  <r>
    <n v="809043"/>
    <x v="0"/>
    <x v="4"/>
    <n v="34"/>
    <x v="2"/>
    <d v="2016-02-21T19:50:00"/>
    <x v="28"/>
    <x v="6"/>
    <x v="712"/>
    <n v="19"/>
    <x v="4"/>
    <x v="2"/>
    <x v="1"/>
    <x v="0"/>
    <x v="0"/>
  </r>
  <r>
    <n v="809043"/>
    <x v="0"/>
    <x v="4"/>
    <n v="34"/>
    <x v="2"/>
    <d v="2016-03-06T12:46:00"/>
    <x v="0"/>
    <x v="6"/>
    <x v="713"/>
    <n v="12"/>
    <x v="4"/>
    <x v="1"/>
    <x v="1"/>
    <x v="0"/>
    <x v="2"/>
  </r>
  <r>
    <n v="939712"/>
    <x v="0"/>
    <x v="4"/>
    <n v="42"/>
    <x v="0"/>
    <d v="2016-03-23T06:16:00"/>
    <x v="137"/>
    <x v="11"/>
    <x v="714"/>
    <n v="6"/>
    <x v="1"/>
    <x v="1"/>
    <x v="0"/>
    <x v="4"/>
    <x v="1"/>
  </r>
  <r>
    <n v="939712"/>
    <x v="0"/>
    <x v="4"/>
    <n v="42"/>
    <x v="0"/>
    <d v="2016-03-20T12:59:00"/>
    <x v="25"/>
    <x v="6"/>
    <x v="715"/>
    <n v="12"/>
    <x v="4"/>
    <x v="1"/>
    <x v="1"/>
    <x v="4"/>
    <x v="2"/>
  </r>
  <r>
    <n v="817317"/>
    <x v="0"/>
    <x v="0"/>
    <n v="53"/>
    <x v="0"/>
    <d v="2016-03-04T14:06:00"/>
    <x v="74"/>
    <x v="2"/>
    <x v="716"/>
    <n v="14"/>
    <x v="2"/>
    <x v="1"/>
    <x v="0"/>
    <x v="2"/>
    <x v="2"/>
  </r>
  <r>
    <n v="817317"/>
    <x v="0"/>
    <x v="0"/>
    <n v="53"/>
    <x v="0"/>
    <d v="2016-03-04T14:09:00"/>
    <x v="3"/>
    <x v="14"/>
    <x v="717"/>
    <n v="14"/>
    <x v="2"/>
    <x v="1"/>
    <x v="0"/>
    <x v="2"/>
    <x v="2"/>
  </r>
  <r>
    <n v="817317"/>
    <x v="0"/>
    <x v="0"/>
    <n v="53"/>
    <x v="0"/>
    <d v="2016-02-06T12:43:00"/>
    <x v="51"/>
    <x v="3"/>
    <x v="718"/>
    <n v="12"/>
    <x v="6"/>
    <x v="2"/>
    <x v="1"/>
    <x v="2"/>
    <x v="2"/>
  </r>
  <r>
    <n v="817317"/>
    <x v="0"/>
    <x v="0"/>
    <n v="53"/>
    <x v="0"/>
    <d v="2016-02-23T16:03:00"/>
    <x v="340"/>
    <x v="1"/>
    <x v="719"/>
    <n v="16"/>
    <x v="3"/>
    <x v="2"/>
    <x v="0"/>
    <x v="2"/>
    <x v="2"/>
  </r>
  <r>
    <n v="817317"/>
    <x v="0"/>
    <x v="0"/>
    <n v="53"/>
    <x v="0"/>
    <d v="2016-02-23T16:11:00"/>
    <x v="33"/>
    <x v="10"/>
    <x v="720"/>
    <n v="16"/>
    <x v="3"/>
    <x v="2"/>
    <x v="0"/>
    <x v="2"/>
    <x v="2"/>
  </r>
  <r>
    <n v="817317"/>
    <x v="0"/>
    <x v="0"/>
    <n v="53"/>
    <x v="0"/>
    <d v="2016-03-25T13:54:00"/>
    <x v="128"/>
    <x v="4"/>
    <x v="721"/>
    <n v="13"/>
    <x v="2"/>
    <x v="1"/>
    <x v="0"/>
    <x v="2"/>
    <x v="2"/>
  </r>
  <r>
    <n v="771911"/>
    <x v="0"/>
    <x v="4"/>
    <n v="25"/>
    <x v="8"/>
    <d v="2016-02-14T19:34:00"/>
    <x v="36"/>
    <x v="6"/>
    <x v="722"/>
    <n v="19"/>
    <x v="4"/>
    <x v="2"/>
    <x v="1"/>
    <x v="3"/>
    <x v="0"/>
  </r>
  <r>
    <n v="771911"/>
    <x v="0"/>
    <x v="4"/>
    <n v="25"/>
    <x v="8"/>
    <d v="2016-02-02T17:35:00"/>
    <x v="262"/>
    <x v="6"/>
    <x v="723"/>
    <n v="17"/>
    <x v="3"/>
    <x v="2"/>
    <x v="0"/>
    <x v="3"/>
    <x v="0"/>
  </r>
  <r>
    <n v="771911"/>
    <x v="0"/>
    <x v="4"/>
    <n v="25"/>
    <x v="8"/>
    <d v="2016-02-02T00:50:00"/>
    <x v="301"/>
    <x v="2"/>
    <x v="724"/>
    <n v="0"/>
    <x v="3"/>
    <x v="2"/>
    <x v="0"/>
    <x v="3"/>
    <x v="3"/>
  </r>
  <r>
    <n v="771911"/>
    <x v="0"/>
    <x v="4"/>
    <n v="25"/>
    <x v="8"/>
    <d v="2016-02-02T00:33:00"/>
    <x v="349"/>
    <x v="7"/>
    <x v="725"/>
    <n v="0"/>
    <x v="3"/>
    <x v="2"/>
    <x v="0"/>
    <x v="3"/>
    <x v="3"/>
  </r>
  <r>
    <n v="771911"/>
    <x v="0"/>
    <x v="4"/>
    <n v="25"/>
    <x v="8"/>
    <d v="2016-03-08T10:23:00"/>
    <x v="367"/>
    <x v="0"/>
    <x v="726"/>
    <n v="10"/>
    <x v="3"/>
    <x v="1"/>
    <x v="0"/>
    <x v="3"/>
    <x v="1"/>
  </r>
  <r>
    <n v="771911"/>
    <x v="0"/>
    <x v="4"/>
    <n v="25"/>
    <x v="8"/>
    <d v="2016-03-06T12:26:00"/>
    <x v="1"/>
    <x v="1"/>
    <x v="727"/>
    <n v="12"/>
    <x v="4"/>
    <x v="1"/>
    <x v="1"/>
    <x v="3"/>
    <x v="2"/>
  </r>
  <r>
    <n v="916065"/>
    <x v="0"/>
    <x v="3"/>
    <n v="16"/>
    <x v="8"/>
    <d v="2016-03-26T09:01:00"/>
    <x v="368"/>
    <x v="1"/>
    <x v="728"/>
    <n v="9"/>
    <x v="6"/>
    <x v="1"/>
    <x v="1"/>
    <x v="1"/>
    <x v="1"/>
  </r>
  <r>
    <n v="2360384"/>
    <x v="0"/>
    <x v="4"/>
    <n v="37"/>
    <x v="5"/>
    <d v="2016-02-08T12:09:00"/>
    <x v="369"/>
    <x v="3"/>
    <x v="729"/>
    <n v="12"/>
    <x v="0"/>
    <x v="2"/>
    <x v="0"/>
    <x v="0"/>
    <x v="2"/>
  </r>
  <r>
    <n v="809045"/>
    <x v="0"/>
    <x v="0"/>
    <n v="38"/>
    <x v="0"/>
    <d v="2016-02-18T21:13:00"/>
    <x v="3"/>
    <x v="5"/>
    <x v="730"/>
    <n v="21"/>
    <x v="5"/>
    <x v="2"/>
    <x v="0"/>
    <x v="0"/>
    <x v="0"/>
  </r>
  <r>
    <n v="809045"/>
    <x v="0"/>
    <x v="0"/>
    <n v="38"/>
    <x v="0"/>
    <d v="2016-02-27T19:56:00"/>
    <x v="145"/>
    <x v="3"/>
    <x v="731"/>
    <n v="19"/>
    <x v="6"/>
    <x v="2"/>
    <x v="1"/>
    <x v="0"/>
    <x v="0"/>
  </r>
  <r>
    <n v="859389"/>
    <x v="0"/>
    <x v="3"/>
    <n v="42"/>
    <x v="5"/>
    <d v="2016-03-26T16:15:00"/>
    <x v="320"/>
    <x v="6"/>
    <x v="732"/>
    <n v="16"/>
    <x v="6"/>
    <x v="1"/>
    <x v="1"/>
    <x v="4"/>
    <x v="2"/>
  </r>
  <r>
    <n v="866255"/>
    <x v="0"/>
    <x v="3"/>
    <n v="24"/>
    <x v="8"/>
    <d v="2016-03-05T12:04:00"/>
    <x v="370"/>
    <x v="1"/>
    <x v="733"/>
    <n v="12"/>
    <x v="6"/>
    <x v="1"/>
    <x v="1"/>
    <x v="3"/>
    <x v="2"/>
  </r>
  <r>
    <n v="939713"/>
    <x v="0"/>
    <x v="0"/>
    <n v="26"/>
    <x v="7"/>
    <d v="2016-03-04T21:06:00"/>
    <x v="36"/>
    <x v="8"/>
    <x v="734"/>
    <n v="21"/>
    <x v="2"/>
    <x v="1"/>
    <x v="0"/>
    <x v="3"/>
    <x v="0"/>
  </r>
  <r>
    <n v="892577"/>
    <x v="0"/>
    <x v="4"/>
    <n v="30"/>
    <x v="5"/>
    <d v="2016-03-20T13:03:00"/>
    <x v="371"/>
    <x v="7"/>
    <x v="735"/>
    <n v="13"/>
    <x v="4"/>
    <x v="1"/>
    <x v="1"/>
    <x v="0"/>
    <x v="2"/>
  </r>
  <r>
    <n v="893061"/>
    <x v="0"/>
    <x v="4"/>
    <n v="28"/>
    <x v="2"/>
    <d v="2016-03-17T13:48:00"/>
    <x v="360"/>
    <x v="3"/>
    <x v="736"/>
    <n v="13"/>
    <x v="5"/>
    <x v="1"/>
    <x v="0"/>
    <x v="3"/>
    <x v="2"/>
  </r>
  <r>
    <n v="779489"/>
    <x v="0"/>
    <x v="4"/>
    <n v="37"/>
    <x v="4"/>
    <d v="2016-03-03T02:28:00"/>
    <x v="117"/>
    <x v="14"/>
    <x v="737"/>
    <n v="2"/>
    <x v="5"/>
    <x v="1"/>
    <x v="0"/>
    <x v="0"/>
    <x v="3"/>
  </r>
  <r>
    <n v="865413"/>
    <x v="0"/>
    <x v="1"/>
    <n v="35"/>
    <x v="5"/>
    <d v="2016-03-19T11:40:00"/>
    <x v="66"/>
    <x v="6"/>
    <x v="738"/>
    <n v="11"/>
    <x v="6"/>
    <x v="1"/>
    <x v="1"/>
    <x v="0"/>
    <x v="2"/>
  </r>
  <r>
    <n v="865413"/>
    <x v="0"/>
    <x v="1"/>
    <n v="35"/>
    <x v="5"/>
    <d v="2016-03-19T09:14:00"/>
    <x v="372"/>
    <x v="6"/>
    <x v="739"/>
    <n v="9"/>
    <x v="6"/>
    <x v="1"/>
    <x v="1"/>
    <x v="0"/>
    <x v="1"/>
  </r>
  <r>
    <n v="809047"/>
    <x v="2"/>
    <x v="1"/>
    <n v="50"/>
    <x v="0"/>
    <d v="2016-03-31T21:42:00"/>
    <x v="373"/>
    <x v="0"/>
    <x v="740"/>
    <n v="21"/>
    <x v="5"/>
    <x v="1"/>
    <x v="0"/>
    <x v="2"/>
    <x v="0"/>
  </r>
  <r>
    <n v="809047"/>
    <x v="2"/>
    <x v="1"/>
    <n v="50"/>
    <x v="0"/>
    <d v="2016-03-07T18:36:00"/>
    <x v="178"/>
    <x v="0"/>
    <x v="741"/>
    <n v="18"/>
    <x v="0"/>
    <x v="1"/>
    <x v="0"/>
    <x v="2"/>
    <x v="0"/>
  </r>
  <r>
    <n v="737179"/>
    <x v="0"/>
    <x v="1"/>
    <n v="25"/>
    <x v="2"/>
    <d v="2016-01-24T11:40:00"/>
    <x v="4"/>
    <x v="0"/>
    <x v="742"/>
    <n v="11"/>
    <x v="4"/>
    <x v="0"/>
    <x v="1"/>
    <x v="3"/>
    <x v="2"/>
  </r>
  <r>
    <n v="930093"/>
    <x v="0"/>
    <x v="2"/>
    <n v="38"/>
    <x v="2"/>
    <d v="2016-03-30T19:40:00"/>
    <x v="374"/>
    <x v="2"/>
    <x v="743"/>
    <n v="19"/>
    <x v="1"/>
    <x v="1"/>
    <x v="0"/>
    <x v="0"/>
    <x v="0"/>
  </r>
  <r>
    <n v="922283"/>
    <x v="0"/>
    <x v="2"/>
    <n v="22"/>
    <x v="6"/>
    <d v="2016-03-28T15:12:00"/>
    <x v="11"/>
    <x v="5"/>
    <x v="744"/>
    <n v="15"/>
    <x v="0"/>
    <x v="1"/>
    <x v="0"/>
    <x v="3"/>
    <x v="2"/>
  </r>
  <r>
    <n v="850779"/>
    <x v="0"/>
    <x v="0"/>
    <n v="31"/>
    <x v="2"/>
    <d v="2016-03-03T15:42:00"/>
    <x v="136"/>
    <x v="5"/>
    <x v="745"/>
    <n v="15"/>
    <x v="5"/>
    <x v="1"/>
    <x v="0"/>
    <x v="0"/>
    <x v="2"/>
  </r>
  <r>
    <n v="930094"/>
    <x v="0"/>
    <x v="5"/>
    <n v="26"/>
    <x v="7"/>
    <d v="2016-03-29T10:17:00"/>
    <x v="20"/>
    <x v="1"/>
    <x v="746"/>
    <n v="10"/>
    <x v="3"/>
    <x v="1"/>
    <x v="0"/>
    <x v="3"/>
    <x v="1"/>
  </r>
  <r>
    <n v="930094"/>
    <x v="0"/>
    <x v="5"/>
    <n v="26"/>
    <x v="7"/>
    <d v="2016-03-29T15:32:00"/>
    <x v="150"/>
    <x v="0"/>
    <x v="747"/>
    <n v="15"/>
    <x v="3"/>
    <x v="1"/>
    <x v="0"/>
    <x v="3"/>
    <x v="2"/>
  </r>
  <r>
    <n v="2285675"/>
    <x v="0"/>
    <x v="1"/>
    <n v="33"/>
    <x v="2"/>
    <d v="2016-03-25T11:53:00"/>
    <x v="114"/>
    <x v="1"/>
    <x v="748"/>
    <n v="11"/>
    <x v="2"/>
    <x v="1"/>
    <x v="0"/>
    <x v="0"/>
    <x v="2"/>
  </r>
  <r>
    <n v="831815"/>
    <x v="0"/>
    <x v="2"/>
    <n v="36"/>
    <x v="4"/>
    <d v="2016-03-03T12:41:00"/>
    <x v="375"/>
    <x v="6"/>
    <x v="749"/>
    <n v="12"/>
    <x v="5"/>
    <x v="1"/>
    <x v="0"/>
    <x v="0"/>
    <x v="2"/>
  </r>
  <r>
    <n v="642504"/>
    <x v="1"/>
    <x v="1"/>
    <n v="0"/>
    <x v="1"/>
    <d v="2016-03-30T06:07:00"/>
    <x v="376"/>
    <x v="15"/>
    <x v="750"/>
    <n v="6"/>
    <x v="1"/>
    <x v="1"/>
    <x v="0"/>
    <x v="1"/>
    <x v="1"/>
  </r>
  <r>
    <n v="809048"/>
    <x v="0"/>
    <x v="2"/>
    <n v="46"/>
    <x v="6"/>
    <d v="2016-02-19T11:51:00"/>
    <x v="68"/>
    <x v="6"/>
    <x v="751"/>
    <n v="11"/>
    <x v="2"/>
    <x v="2"/>
    <x v="0"/>
    <x v="4"/>
    <x v="2"/>
  </r>
  <r>
    <n v="809048"/>
    <x v="0"/>
    <x v="2"/>
    <n v="46"/>
    <x v="6"/>
    <d v="2016-02-24T14:59:00"/>
    <x v="377"/>
    <x v="1"/>
    <x v="752"/>
    <n v="14"/>
    <x v="1"/>
    <x v="2"/>
    <x v="0"/>
    <x v="4"/>
    <x v="2"/>
  </r>
  <r>
    <n v="809048"/>
    <x v="0"/>
    <x v="2"/>
    <n v="46"/>
    <x v="6"/>
    <d v="2016-02-03T09:55:00"/>
    <x v="168"/>
    <x v="11"/>
    <x v="753"/>
    <n v="9"/>
    <x v="1"/>
    <x v="2"/>
    <x v="0"/>
    <x v="4"/>
    <x v="1"/>
  </r>
  <r>
    <n v="809048"/>
    <x v="0"/>
    <x v="2"/>
    <n v="46"/>
    <x v="6"/>
    <d v="2016-02-03T10:05:00"/>
    <x v="378"/>
    <x v="4"/>
    <x v="754"/>
    <n v="10"/>
    <x v="1"/>
    <x v="2"/>
    <x v="0"/>
    <x v="4"/>
    <x v="1"/>
  </r>
  <r>
    <n v="809048"/>
    <x v="0"/>
    <x v="2"/>
    <n v="46"/>
    <x v="6"/>
    <d v="2016-03-09T13:18:00"/>
    <x v="379"/>
    <x v="1"/>
    <x v="755"/>
    <n v="13"/>
    <x v="1"/>
    <x v="1"/>
    <x v="0"/>
    <x v="4"/>
    <x v="2"/>
  </r>
  <r>
    <n v="904295"/>
    <x v="0"/>
    <x v="2"/>
    <n v="41"/>
    <x v="0"/>
    <d v="2016-03-24T16:44:00"/>
    <x v="380"/>
    <x v="6"/>
    <x v="756"/>
    <n v="16"/>
    <x v="5"/>
    <x v="1"/>
    <x v="0"/>
    <x v="4"/>
    <x v="2"/>
  </r>
  <r>
    <n v="930097"/>
    <x v="0"/>
    <x v="2"/>
    <n v="26"/>
    <x v="2"/>
    <d v="2016-03-30T15:04:00"/>
    <x v="381"/>
    <x v="1"/>
    <x v="757"/>
    <n v="15"/>
    <x v="1"/>
    <x v="1"/>
    <x v="0"/>
    <x v="3"/>
    <x v="2"/>
  </r>
  <r>
    <n v="939717"/>
    <x v="0"/>
    <x v="2"/>
    <n v="27"/>
    <x v="2"/>
    <d v="2016-03-30T08:10:00"/>
    <x v="42"/>
    <x v="8"/>
    <x v="758"/>
    <n v="8"/>
    <x v="1"/>
    <x v="1"/>
    <x v="0"/>
    <x v="3"/>
    <x v="1"/>
  </r>
  <r>
    <n v="939717"/>
    <x v="0"/>
    <x v="2"/>
    <n v="27"/>
    <x v="2"/>
    <d v="2016-03-29T20:22:00"/>
    <x v="183"/>
    <x v="0"/>
    <x v="759"/>
    <n v="20"/>
    <x v="3"/>
    <x v="1"/>
    <x v="0"/>
    <x v="3"/>
    <x v="0"/>
  </r>
  <r>
    <n v="904299"/>
    <x v="0"/>
    <x v="2"/>
    <n v="9"/>
    <x v="7"/>
    <d v="2016-03-30T12:04:00"/>
    <x v="382"/>
    <x v="1"/>
    <x v="760"/>
    <n v="12"/>
    <x v="1"/>
    <x v="1"/>
    <x v="0"/>
    <x v="1"/>
    <x v="2"/>
  </r>
  <r>
    <n v="904299"/>
    <x v="0"/>
    <x v="2"/>
    <n v="9"/>
    <x v="7"/>
    <d v="2016-03-25T15:32:00"/>
    <x v="383"/>
    <x v="1"/>
    <x v="761"/>
    <n v="15"/>
    <x v="2"/>
    <x v="1"/>
    <x v="0"/>
    <x v="1"/>
    <x v="2"/>
  </r>
  <r>
    <n v="904299"/>
    <x v="0"/>
    <x v="2"/>
    <n v="9"/>
    <x v="7"/>
    <d v="2016-03-29T13:01:00"/>
    <x v="384"/>
    <x v="1"/>
    <x v="762"/>
    <n v="13"/>
    <x v="3"/>
    <x v="1"/>
    <x v="0"/>
    <x v="1"/>
    <x v="2"/>
  </r>
  <r>
    <n v="531053"/>
    <x v="0"/>
    <x v="0"/>
    <n v="18"/>
    <x v="0"/>
    <d v="2016-01-11T07:09:00"/>
    <x v="385"/>
    <x v="5"/>
    <x v="763"/>
    <n v="7"/>
    <x v="0"/>
    <x v="0"/>
    <x v="0"/>
    <x v="3"/>
    <x v="1"/>
  </r>
  <r>
    <n v="2368559"/>
    <x v="0"/>
    <x v="4"/>
    <n v="40"/>
    <x v="2"/>
    <d v="2016-02-19T19:26:00"/>
    <x v="386"/>
    <x v="6"/>
    <x v="764"/>
    <n v="19"/>
    <x v="2"/>
    <x v="2"/>
    <x v="0"/>
    <x v="4"/>
    <x v="0"/>
  </r>
  <r>
    <n v="2368559"/>
    <x v="0"/>
    <x v="4"/>
    <n v="40"/>
    <x v="2"/>
    <d v="2016-02-04T19:46:00"/>
    <x v="387"/>
    <x v="6"/>
    <x v="765"/>
    <n v="19"/>
    <x v="5"/>
    <x v="2"/>
    <x v="0"/>
    <x v="4"/>
    <x v="0"/>
  </r>
  <r>
    <n v="2368559"/>
    <x v="0"/>
    <x v="4"/>
    <n v="40"/>
    <x v="2"/>
    <d v="2016-01-25T20:50:00"/>
    <x v="388"/>
    <x v="6"/>
    <x v="766"/>
    <n v="20"/>
    <x v="0"/>
    <x v="0"/>
    <x v="0"/>
    <x v="4"/>
    <x v="0"/>
  </r>
  <r>
    <n v="2368559"/>
    <x v="0"/>
    <x v="4"/>
    <n v="40"/>
    <x v="2"/>
    <d v="2016-01-07T17:42:00"/>
    <x v="389"/>
    <x v="15"/>
    <x v="767"/>
    <n v="17"/>
    <x v="5"/>
    <x v="0"/>
    <x v="0"/>
    <x v="4"/>
    <x v="0"/>
  </r>
  <r>
    <n v="2368559"/>
    <x v="0"/>
    <x v="4"/>
    <n v="40"/>
    <x v="2"/>
    <d v="2016-01-08T10:34:00"/>
    <x v="18"/>
    <x v="11"/>
    <x v="768"/>
    <n v="10"/>
    <x v="2"/>
    <x v="0"/>
    <x v="0"/>
    <x v="4"/>
    <x v="1"/>
  </r>
  <r>
    <n v="779500"/>
    <x v="0"/>
    <x v="3"/>
    <n v="33"/>
    <x v="0"/>
    <d v="2016-02-14T06:00:00"/>
    <x v="174"/>
    <x v="9"/>
    <x v="769"/>
    <n v="6"/>
    <x v="4"/>
    <x v="2"/>
    <x v="1"/>
    <x v="0"/>
    <x v="1"/>
  </r>
  <r>
    <n v="779500"/>
    <x v="0"/>
    <x v="3"/>
    <n v="33"/>
    <x v="0"/>
    <d v="2016-02-02T15:55:00"/>
    <x v="390"/>
    <x v="3"/>
    <x v="770"/>
    <n v="15"/>
    <x v="3"/>
    <x v="2"/>
    <x v="0"/>
    <x v="0"/>
    <x v="2"/>
  </r>
  <r>
    <n v="2425806"/>
    <x v="0"/>
    <x v="4"/>
    <n v="41"/>
    <x v="2"/>
    <d v="2016-01-31T16:01:00"/>
    <x v="186"/>
    <x v="12"/>
    <x v="771"/>
    <n v="16"/>
    <x v="4"/>
    <x v="0"/>
    <x v="1"/>
    <x v="4"/>
    <x v="2"/>
  </r>
  <r>
    <n v="2425806"/>
    <x v="0"/>
    <x v="4"/>
    <n v="41"/>
    <x v="2"/>
    <d v="2016-02-03T15:38:00"/>
    <x v="242"/>
    <x v="3"/>
    <x v="772"/>
    <n v="15"/>
    <x v="1"/>
    <x v="2"/>
    <x v="0"/>
    <x v="4"/>
    <x v="2"/>
  </r>
  <r>
    <n v="831820"/>
    <x v="0"/>
    <x v="0"/>
    <n v="27"/>
    <x v="4"/>
    <d v="2016-03-13T14:35:00"/>
    <x v="391"/>
    <x v="1"/>
    <x v="773"/>
    <n v="14"/>
    <x v="4"/>
    <x v="1"/>
    <x v="1"/>
    <x v="3"/>
    <x v="2"/>
  </r>
  <r>
    <n v="831820"/>
    <x v="0"/>
    <x v="0"/>
    <n v="27"/>
    <x v="4"/>
    <d v="2016-03-06T18:51:00"/>
    <x v="45"/>
    <x v="5"/>
    <x v="774"/>
    <n v="18"/>
    <x v="4"/>
    <x v="1"/>
    <x v="1"/>
    <x v="3"/>
    <x v="0"/>
  </r>
  <r>
    <n v="831820"/>
    <x v="0"/>
    <x v="0"/>
    <n v="27"/>
    <x v="4"/>
    <d v="2016-02-27T18:02:00"/>
    <x v="392"/>
    <x v="5"/>
    <x v="775"/>
    <n v="18"/>
    <x v="6"/>
    <x v="2"/>
    <x v="1"/>
    <x v="3"/>
    <x v="0"/>
  </r>
  <r>
    <n v="521247"/>
    <x v="0"/>
    <x v="4"/>
    <n v="21"/>
    <x v="5"/>
    <d v="2016-01-03T20:51:00"/>
    <x v="118"/>
    <x v="11"/>
    <x v="776"/>
    <n v="20"/>
    <x v="4"/>
    <x v="0"/>
    <x v="1"/>
    <x v="3"/>
    <x v="0"/>
  </r>
  <r>
    <n v="521247"/>
    <x v="0"/>
    <x v="4"/>
    <n v="21"/>
    <x v="5"/>
    <d v="2016-01-08T12:25:00"/>
    <x v="329"/>
    <x v="4"/>
    <x v="777"/>
    <n v="12"/>
    <x v="2"/>
    <x v="0"/>
    <x v="0"/>
    <x v="3"/>
    <x v="2"/>
  </r>
  <r>
    <n v="621328"/>
    <x v="0"/>
    <x v="1"/>
    <n v="29"/>
    <x v="0"/>
    <d v="2016-01-13T20:02:00"/>
    <x v="393"/>
    <x v="15"/>
    <x v="778"/>
    <n v="20"/>
    <x v="1"/>
    <x v="0"/>
    <x v="0"/>
    <x v="0"/>
    <x v="0"/>
  </r>
  <r>
    <n v="892587"/>
    <x v="0"/>
    <x v="2"/>
    <n v="32"/>
    <x v="2"/>
    <d v="2016-03-11T18:07:00"/>
    <x v="170"/>
    <x v="1"/>
    <x v="779"/>
    <n v="18"/>
    <x v="2"/>
    <x v="1"/>
    <x v="0"/>
    <x v="0"/>
    <x v="0"/>
  </r>
  <r>
    <n v="892587"/>
    <x v="0"/>
    <x v="2"/>
    <n v="32"/>
    <x v="2"/>
    <d v="2016-03-20T16:37:00"/>
    <x v="394"/>
    <x v="1"/>
    <x v="780"/>
    <n v="16"/>
    <x v="4"/>
    <x v="1"/>
    <x v="1"/>
    <x v="0"/>
    <x v="2"/>
  </r>
  <r>
    <n v="939719"/>
    <x v="0"/>
    <x v="3"/>
    <n v="28"/>
    <x v="4"/>
    <d v="2016-03-31T19:33:00"/>
    <x v="259"/>
    <x v="4"/>
    <x v="781"/>
    <n v="19"/>
    <x v="5"/>
    <x v="1"/>
    <x v="0"/>
    <x v="3"/>
    <x v="0"/>
  </r>
  <r>
    <n v="939719"/>
    <x v="0"/>
    <x v="3"/>
    <n v="28"/>
    <x v="4"/>
    <d v="2016-03-31T16:36:00"/>
    <x v="158"/>
    <x v="13"/>
    <x v="782"/>
    <n v="16"/>
    <x v="5"/>
    <x v="1"/>
    <x v="0"/>
    <x v="3"/>
    <x v="2"/>
  </r>
  <r>
    <n v="930104"/>
    <x v="0"/>
    <x v="2"/>
    <n v="23"/>
    <x v="6"/>
    <d v="2016-03-29T21:49:00"/>
    <x v="395"/>
    <x v="7"/>
    <x v="783"/>
    <n v="21"/>
    <x v="3"/>
    <x v="1"/>
    <x v="0"/>
    <x v="3"/>
    <x v="0"/>
  </r>
  <r>
    <n v="866270"/>
    <x v="0"/>
    <x v="2"/>
    <n v="32"/>
    <x v="2"/>
    <d v="2016-03-13T12:07:00"/>
    <x v="396"/>
    <x v="1"/>
    <x v="784"/>
    <n v="12"/>
    <x v="4"/>
    <x v="1"/>
    <x v="1"/>
    <x v="0"/>
    <x v="2"/>
  </r>
  <r>
    <n v="866270"/>
    <x v="0"/>
    <x v="2"/>
    <n v="32"/>
    <x v="2"/>
    <d v="2016-03-19T09:27:00"/>
    <x v="397"/>
    <x v="5"/>
    <x v="785"/>
    <n v="9"/>
    <x v="6"/>
    <x v="1"/>
    <x v="1"/>
    <x v="0"/>
    <x v="1"/>
  </r>
  <r>
    <n v="858517"/>
    <x v="1"/>
    <x v="1"/>
    <n v="0"/>
    <x v="1"/>
    <d v="2016-03-25T16:17:00"/>
    <x v="274"/>
    <x v="4"/>
    <x v="786"/>
    <n v="16"/>
    <x v="2"/>
    <x v="1"/>
    <x v="0"/>
    <x v="1"/>
    <x v="2"/>
  </r>
  <r>
    <n v="858517"/>
    <x v="1"/>
    <x v="1"/>
    <n v="0"/>
    <x v="1"/>
    <d v="2016-03-25T10:44:00"/>
    <x v="150"/>
    <x v="4"/>
    <x v="787"/>
    <n v="10"/>
    <x v="2"/>
    <x v="1"/>
    <x v="0"/>
    <x v="1"/>
    <x v="1"/>
  </r>
  <r>
    <n v="789241"/>
    <x v="0"/>
    <x v="0"/>
    <n v="25"/>
    <x v="9"/>
    <d v="2016-02-13T08:22:00"/>
    <x v="398"/>
    <x v="3"/>
    <x v="788"/>
    <n v="8"/>
    <x v="6"/>
    <x v="2"/>
    <x v="1"/>
    <x v="3"/>
    <x v="1"/>
  </r>
  <r>
    <n v="1106301"/>
    <x v="0"/>
    <x v="2"/>
    <n v="45"/>
    <x v="2"/>
    <d v="2016-03-26T06:05:00"/>
    <x v="16"/>
    <x v="7"/>
    <x v="789"/>
    <n v="6"/>
    <x v="6"/>
    <x v="1"/>
    <x v="1"/>
    <x v="4"/>
    <x v="1"/>
  </r>
  <r>
    <n v="1106301"/>
    <x v="0"/>
    <x v="2"/>
    <n v="45"/>
    <x v="2"/>
    <d v="2016-03-26T08:23:00"/>
    <x v="340"/>
    <x v="7"/>
    <x v="790"/>
    <n v="8"/>
    <x v="6"/>
    <x v="1"/>
    <x v="1"/>
    <x v="4"/>
    <x v="1"/>
  </r>
  <r>
    <n v="817331"/>
    <x v="0"/>
    <x v="4"/>
    <n v="16"/>
    <x v="2"/>
    <d v="2016-02-25T12:36:00"/>
    <x v="399"/>
    <x v="4"/>
    <x v="791"/>
    <n v="12"/>
    <x v="5"/>
    <x v="2"/>
    <x v="0"/>
    <x v="1"/>
    <x v="2"/>
  </r>
  <r>
    <n v="2368568"/>
    <x v="0"/>
    <x v="2"/>
    <n v="49"/>
    <x v="4"/>
    <d v="2016-03-18T07:14:00"/>
    <x v="342"/>
    <x v="12"/>
    <x v="792"/>
    <n v="7"/>
    <x v="2"/>
    <x v="1"/>
    <x v="0"/>
    <x v="2"/>
    <x v="1"/>
  </r>
  <r>
    <n v="2368568"/>
    <x v="0"/>
    <x v="2"/>
    <n v="49"/>
    <x v="4"/>
    <d v="2016-03-19T18:36:00"/>
    <x v="246"/>
    <x v="12"/>
    <x v="793"/>
    <n v="18"/>
    <x v="6"/>
    <x v="1"/>
    <x v="1"/>
    <x v="2"/>
    <x v="0"/>
  </r>
  <r>
    <n v="2368568"/>
    <x v="0"/>
    <x v="2"/>
    <n v="49"/>
    <x v="4"/>
    <d v="2016-03-20T16:29:00"/>
    <x v="11"/>
    <x v="6"/>
    <x v="794"/>
    <n v="16"/>
    <x v="4"/>
    <x v="1"/>
    <x v="1"/>
    <x v="2"/>
    <x v="2"/>
  </r>
  <r>
    <n v="2368568"/>
    <x v="0"/>
    <x v="2"/>
    <n v="49"/>
    <x v="4"/>
    <d v="2016-03-16T05:38:00"/>
    <x v="133"/>
    <x v="11"/>
    <x v="795"/>
    <n v="5"/>
    <x v="1"/>
    <x v="1"/>
    <x v="0"/>
    <x v="2"/>
    <x v="1"/>
  </r>
  <r>
    <n v="2368568"/>
    <x v="0"/>
    <x v="2"/>
    <n v="49"/>
    <x v="4"/>
    <d v="2016-03-15T21:31:00"/>
    <x v="400"/>
    <x v="4"/>
    <x v="796"/>
    <n v="21"/>
    <x v="3"/>
    <x v="1"/>
    <x v="0"/>
    <x v="2"/>
    <x v="0"/>
  </r>
  <r>
    <n v="809056"/>
    <x v="0"/>
    <x v="0"/>
    <n v="43"/>
    <x v="0"/>
    <d v="2016-02-05T14:31:00"/>
    <x v="401"/>
    <x v="4"/>
    <x v="797"/>
    <n v="14"/>
    <x v="2"/>
    <x v="2"/>
    <x v="0"/>
    <x v="4"/>
    <x v="2"/>
  </r>
  <r>
    <n v="809056"/>
    <x v="0"/>
    <x v="0"/>
    <n v="43"/>
    <x v="0"/>
    <d v="2016-02-26T11:02:00"/>
    <x v="402"/>
    <x v="1"/>
    <x v="798"/>
    <n v="11"/>
    <x v="2"/>
    <x v="2"/>
    <x v="0"/>
    <x v="4"/>
    <x v="2"/>
  </r>
  <r>
    <n v="809056"/>
    <x v="0"/>
    <x v="0"/>
    <n v="43"/>
    <x v="0"/>
    <d v="2016-02-15T15:50:00"/>
    <x v="340"/>
    <x v="8"/>
    <x v="799"/>
    <n v="15"/>
    <x v="0"/>
    <x v="2"/>
    <x v="0"/>
    <x v="4"/>
    <x v="2"/>
  </r>
  <r>
    <n v="809056"/>
    <x v="0"/>
    <x v="0"/>
    <n v="43"/>
    <x v="0"/>
    <d v="2016-02-20T09:29:00"/>
    <x v="356"/>
    <x v="0"/>
    <x v="800"/>
    <n v="9"/>
    <x v="6"/>
    <x v="2"/>
    <x v="1"/>
    <x v="4"/>
    <x v="1"/>
  </r>
  <r>
    <n v="809056"/>
    <x v="0"/>
    <x v="0"/>
    <n v="43"/>
    <x v="0"/>
    <d v="2016-02-20T09:31:00"/>
    <x v="62"/>
    <x v="7"/>
    <x v="801"/>
    <n v="9"/>
    <x v="6"/>
    <x v="2"/>
    <x v="1"/>
    <x v="4"/>
    <x v="1"/>
  </r>
  <r>
    <n v="809056"/>
    <x v="0"/>
    <x v="0"/>
    <n v="43"/>
    <x v="0"/>
    <d v="2016-02-14T11:27:00"/>
    <x v="395"/>
    <x v="4"/>
    <x v="802"/>
    <n v="11"/>
    <x v="4"/>
    <x v="2"/>
    <x v="1"/>
    <x v="4"/>
    <x v="2"/>
  </r>
  <r>
    <n v="809056"/>
    <x v="0"/>
    <x v="0"/>
    <n v="43"/>
    <x v="0"/>
    <d v="2016-02-21T15:17:00"/>
    <x v="344"/>
    <x v="0"/>
    <x v="803"/>
    <n v="15"/>
    <x v="4"/>
    <x v="2"/>
    <x v="1"/>
    <x v="4"/>
    <x v="2"/>
  </r>
  <r>
    <n v="809056"/>
    <x v="0"/>
    <x v="0"/>
    <n v="43"/>
    <x v="0"/>
    <d v="2016-02-02T18:18:00"/>
    <x v="204"/>
    <x v="11"/>
    <x v="804"/>
    <n v="18"/>
    <x v="3"/>
    <x v="2"/>
    <x v="0"/>
    <x v="4"/>
    <x v="0"/>
  </r>
  <r>
    <n v="809056"/>
    <x v="0"/>
    <x v="0"/>
    <n v="43"/>
    <x v="0"/>
    <d v="2016-02-25T07:45:00"/>
    <x v="403"/>
    <x v="1"/>
    <x v="805"/>
    <n v="7"/>
    <x v="5"/>
    <x v="2"/>
    <x v="0"/>
    <x v="4"/>
    <x v="1"/>
  </r>
  <r>
    <n v="809056"/>
    <x v="0"/>
    <x v="0"/>
    <n v="43"/>
    <x v="0"/>
    <d v="2016-03-08T08:42:00"/>
    <x v="404"/>
    <x v="0"/>
    <x v="806"/>
    <n v="8"/>
    <x v="3"/>
    <x v="1"/>
    <x v="0"/>
    <x v="4"/>
    <x v="1"/>
  </r>
  <r>
    <n v="809056"/>
    <x v="0"/>
    <x v="0"/>
    <n v="43"/>
    <x v="0"/>
    <d v="2016-01-01T19:19:00"/>
    <x v="150"/>
    <x v="0"/>
    <x v="807"/>
    <n v="19"/>
    <x v="2"/>
    <x v="0"/>
    <x v="0"/>
    <x v="4"/>
    <x v="0"/>
  </r>
  <r>
    <n v="809056"/>
    <x v="0"/>
    <x v="0"/>
    <n v="43"/>
    <x v="0"/>
    <d v="2016-01-27T21:45:00"/>
    <x v="235"/>
    <x v="0"/>
    <x v="808"/>
    <n v="21"/>
    <x v="1"/>
    <x v="0"/>
    <x v="0"/>
    <x v="4"/>
    <x v="0"/>
  </r>
  <r>
    <n v="809056"/>
    <x v="0"/>
    <x v="0"/>
    <n v="43"/>
    <x v="0"/>
    <d v="2016-01-12T12:21:00"/>
    <x v="144"/>
    <x v="6"/>
    <x v="809"/>
    <n v="12"/>
    <x v="3"/>
    <x v="0"/>
    <x v="0"/>
    <x v="4"/>
    <x v="2"/>
  </r>
  <r>
    <n v="809056"/>
    <x v="0"/>
    <x v="0"/>
    <n v="43"/>
    <x v="0"/>
    <d v="2016-01-06T19:27:00"/>
    <x v="405"/>
    <x v="0"/>
    <x v="810"/>
    <n v="19"/>
    <x v="1"/>
    <x v="0"/>
    <x v="0"/>
    <x v="4"/>
    <x v="0"/>
  </r>
  <r>
    <n v="809056"/>
    <x v="0"/>
    <x v="0"/>
    <n v="43"/>
    <x v="0"/>
    <d v="2016-02-12T21:59:00"/>
    <x v="74"/>
    <x v="5"/>
    <x v="811"/>
    <n v="21"/>
    <x v="2"/>
    <x v="2"/>
    <x v="0"/>
    <x v="4"/>
    <x v="0"/>
  </r>
  <r>
    <n v="809056"/>
    <x v="0"/>
    <x v="0"/>
    <n v="43"/>
    <x v="0"/>
    <d v="2016-01-02T18:57:00"/>
    <x v="406"/>
    <x v="3"/>
    <x v="812"/>
    <n v="18"/>
    <x v="6"/>
    <x v="0"/>
    <x v="1"/>
    <x v="4"/>
    <x v="0"/>
  </r>
  <r>
    <n v="809056"/>
    <x v="0"/>
    <x v="0"/>
    <n v="43"/>
    <x v="0"/>
    <d v="2016-01-01T06:26:00"/>
    <x v="157"/>
    <x v="0"/>
    <x v="813"/>
    <n v="6"/>
    <x v="2"/>
    <x v="0"/>
    <x v="0"/>
    <x v="4"/>
    <x v="1"/>
  </r>
  <r>
    <n v="809056"/>
    <x v="0"/>
    <x v="0"/>
    <n v="43"/>
    <x v="0"/>
    <d v="2016-03-04T23:03:00"/>
    <x v="407"/>
    <x v="0"/>
    <x v="814"/>
    <n v="23"/>
    <x v="2"/>
    <x v="1"/>
    <x v="0"/>
    <x v="4"/>
    <x v="4"/>
  </r>
  <r>
    <n v="809056"/>
    <x v="0"/>
    <x v="0"/>
    <n v="43"/>
    <x v="0"/>
    <d v="2016-03-05T13:25:00"/>
    <x v="35"/>
    <x v="1"/>
    <x v="815"/>
    <n v="13"/>
    <x v="6"/>
    <x v="1"/>
    <x v="1"/>
    <x v="4"/>
    <x v="2"/>
  </r>
  <r>
    <n v="809056"/>
    <x v="0"/>
    <x v="0"/>
    <n v="43"/>
    <x v="0"/>
    <d v="2016-02-18T22:58:00"/>
    <x v="66"/>
    <x v="13"/>
    <x v="816"/>
    <n v="22"/>
    <x v="5"/>
    <x v="2"/>
    <x v="0"/>
    <x v="4"/>
    <x v="4"/>
  </r>
  <r>
    <n v="809056"/>
    <x v="0"/>
    <x v="0"/>
    <n v="43"/>
    <x v="0"/>
    <d v="2016-02-12T17:32:00"/>
    <x v="2"/>
    <x v="4"/>
    <x v="817"/>
    <n v="17"/>
    <x v="2"/>
    <x v="2"/>
    <x v="0"/>
    <x v="4"/>
    <x v="0"/>
  </r>
  <r>
    <n v="809056"/>
    <x v="0"/>
    <x v="0"/>
    <n v="43"/>
    <x v="0"/>
    <d v="2016-03-31T16:33:00"/>
    <x v="170"/>
    <x v="3"/>
    <x v="818"/>
    <n v="16"/>
    <x v="5"/>
    <x v="1"/>
    <x v="0"/>
    <x v="4"/>
    <x v="2"/>
  </r>
  <r>
    <n v="809056"/>
    <x v="0"/>
    <x v="0"/>
    <n v="43"/>
    <x v="0"/>
    <d v="2016-03-30T11:17:00"/>
    <x v="30"/>
    <x v="4"/>
    <x v="105"/>
    <n v="11"/>
    <x v="1"/>
    <x v="1"/>
    <x v="0"/>
    <x v="4"/>
    <x v="2"/>
  </r>
  <r>
    <n v="809056"/>
    <x v="0"/>
    <x v="0"/>
    <n v="43"/>
    <x v="0"/>
    <d v="2016-03-26T22:47:00"/>
    <x v="163"/>
    <x v="15"/>
    <x v="819"/>
    <n v="22"/>
    <x v="6"/>
    <x v="1"/>
    <x v="1"/>
    <x v="4"/>
    <x v="4"/>
  </r>
  <r>
    <n v="809056"/>
    <x v="0"/>
    <x v="0"/>
    <n v="43"/>
    <x v="0"/>
    <d v="2016-03-01T09:14:00"/>
    <x v="65"/>
    <x v="1"/>
    <x v="820"/>
    <n v="9"/>
    <x v="3"/>
    <x v="1"/>
    <x v="0"/>
    <x v="4"/>
    <x v="1"/>
  </r>
  <r>
    <n v="809056"/>
    <x v="0"/>
    <x v="0"/>
    <n v="43"/>
    <x v="0"/>
    <d v="2016-03-29T16:00:00"/>
    <x v="408"/>
    <x v="1"/>
    <x v="821"/>
    <n v="16"/>
    <x v="3"/>
    <x v="1"/>
    <x v="0"/>
    <x v="4"/>
    <x v="2"/>
  </r>
  <r>
    <n v="809056"/>
    <x v="0"/>
    <x v="0"/>
    <n v="43"/>
    <x v="0"/>
    <d v="2016-02-13T00:00:00"/>
    <x v="83"/>
    <x v="12"/>
    <x v="822"/>
    <n v="0"/>
    <x v="6"/>
    <x v="2"/>
    <x v="1"/>
    <x v="4"/>
    <x v="3"/>
  </r>
  <r>
    <n v="779505"/>
    <x v="0"/>
    <x v="4"/>
    <n v="22"/>
    <x v="2"/>
    <d v="2016-02-06T18:53:00"/>
    <x v="226"/>
    <x v="4"/>
    <x v="823"/>
    <n v="18"/>
    <x v="6"/>
    <x v="2"/>
    <x v="1"/>
    <x v="3"/>
    <x v="0"/>
  </r>
  <r>
    <n v="831826"/>
    <x v="0"/>
    <x v="2"/>
    <n v="31"/>
    <x v="3"/>
    <d v="2016-02-28T07:48:00"/>
    <x v="188"/>
    <x v="2"/>
    <x v="824"/>
    <n v="7"/>
    <x v="4"/>
    <x v="2"/>
    <x v="1"/>
    <x v="0"/>
    <x v="1"/>
  </r>
  <r>
    <n v="831826"/>
    <x v="0"/>
    <x v="2"/>
    <n v="31"/>
    <x v="3"/>
    <d v="2016-02-28T12:29:00"/>
    <x v="409"/>
    <x v="1"/>
    <x v="825"/>
    <n v="12"/>
    <x v="4"/>
    <x v="2"/>
    <x v="1"/>
    <x v="0"/>
    <x v="2"/>
  </r>
  <r>
    <n v="939723"/>
    <x v="0"/>
    <x v="4"/>
    <n v="31"/>
    <x v="2"/>
    <d v="2016-03-30T16:43:00"/>
    <x v="410"/>
    <x v="1"/>
    <x v="826"/>
    <n v="16"/>
    <x v="1"/>
    <x v="1"/>
    <x v="0"/>
    <x v="0"/>
    <x v="2"/>
  </r>
  <r>
    <n v="764451"/>
    <x v="2"/>
    <x v="2"/>
    <n v="27"/>
    <x v="2"/>
    <d v="2016-01-11T13:11:00"/>
    <x v="411"/>
    <x v="0"/>
    <x v="827"/>
    <n v="13"/>
    <x v="0"/>
    <x v="0"/>
    <x v="0"/>
    <x v="3"/>
    <x v="2"/>
  </r>
  <r>
    <n v="930111"/>
    <x v="0"/>
    <x v="4"/>
    <n v="29"/>
    <x v="2"/>
    <d v="2016-03-30T21:03:00"/>
    <x v="11"/>
    <x v="3"/>
    <x v="828"/>
    <n v="21"/>
    <x v="1"/>
    <x v="1"/>
    <x v="0"/>
    <x v="0"/>
    <x v="0"/>
  </r>
  <r>
    <n v="793693"/>
    <x v="0"/>
    <x v="4"/>
    <n v="25"/>
    <x v="2"/>
    <d v="2016-02-15T06:37:00"/>
    <x v="6"/>
    <x v="2"/>
    <x v="829"/>
    <n v="6"/>
    <x v="0"/>
    <x v="2"/>
    <x v="0"/>
    <x v="3"/>
    <x v="1"/>
  </r>
  <r>
    <n v="793693"/>
    <x v="0"/>
    <x v="4"/>
    <n v="25"/>
    <x v="2"/>
    <d v="2016-02-15T07:11:00"/>
    <x v="11"/>
    <x v="11"/>
    <x v="830"/>
    <n v="7"/>
    <x v="0"/>
    <x v="2"/>
    <x v="0"/>
    <x v="3"/>
    <x v="1"/>
  </r>
  <r>
    <n v="793693"/>
    <x v="0"/>
    <x v="4"/>
    <n v="25"/>
    <x v="2"/>
    <d v="2016-02-19T08:42:00"/>
    <x v="11"/>
    <x v="4"/>
    <x v="831"/>
    <n v="8"/>
    <x v="2"/>
    <x v="2"/>
    <x v="0"/>
    <x v="3"/>
    <x v="1"/>
  </r>
  <r>
    <n v="793693"/>
    <x v="0"/>
    <x v="4"/>
    <n v="25"/>
    <x v="2"/>
    <d v="2016-02-14T08:18:00"/>
    <x v="8"/>
    <x v="11"/>
    <x v="832"/>
    <n v="8"/>
    <x v="4"/>
    <x v="2"/>
    <x v="1"/>
    <x v="3"/>
    <x v="1"/>
  </r>
  <r>
    <n v="549032"/>
    <x v="0"/>
    <x v="4"/>
    <n v="42"/>
    <x v="2"/>
    <d v="2016-01-12T20:32:00"/>
    <x v="412"/>
    <x v="7"/>
    <x v="833"/>
    <n v="20"/>
    <x v="3"/>
    <x v="0"/>
    <x v="0"/>
    <x v="4"/>
    <x v="0"/>
  </r>
  <r>
    <n v="549032"/>
    <x v="0"/>
    <x v="4"/>
    <n v="42"/>
    <x v="2"/>
    <d v="2016-01-12T21:33:00"/>
    <x v="413"/>
    <x v="3"/>
    <x v="834"/>
    <n v="21"/>
    <x v="3"/>
    <x v="0"/>
    <x v="0"/>
    <x v="4"/>
    <x v="0"/>
  </r>
  <r>
    <n v="597265"/>
    <x v="0"/>
    <x v="4"/>
    <n v="28"/>
    <x v="2"/>
    <d v="2016-01-09T10:30:00"/>
    <x v="414"/>
    <x v="5"/>
    <x v="835"/>
    <n v="10"/>
    <x v="6"/>
    <x v="0"/>
    <x v="1"/>
    <x v="3"/>
    <x v="1"/>
  </r>
  <r>
    <n v="597265"/>
    <x v="0"/>
    <x v="4"/>
    <n v="28"/>
    <x v="2"/>
    <d v="2016-01-17T16:15:00"/>
    <x v="415"/>
    <x v="0"/>
    <x v="836"/>
    <n v="16"/>
    <x v="4"/>
    <x v="0"/>
    <x v="1"/>
    <x v="3"/>
    <x v="2"/>
  </r>
  <r>
    <n v="597265"/>
    <x v="0"/>
    <x v="4"/>
    <n v="28"/>
    <x v="2"/>
    <d v="2016-01-08T13:31:00"/>
    <x v="416"/>
    <x v="4"/>
    <x v="837"/>
    <n v="13"/>
    <x v="2"/>
    <x v="0"/>
    <x v="0"/>
    <x v="3"/>
    <x v="2"/>
  </r>
  <r>
    <n v="806431"/>
    <x v="0"/>
    <x v="4"/>
    <n v="41"/>
    <x v="3"/>
    <d v="2016-02-02T18:34:00"/>
    <x v="329"/>
    <x v="7"/>
    <x v="838"/>
    <n v="18"/>
    <x v="3"/>
    <x v="2"/>
    <x v="0"/>
    <x v="4"/>
    <x v="0"/>
  </r>
  <r>
    <n v="771924"/>
    <x v="2"/>
    <x v="4"/>
    <n v="31"/>
    <x v="2"/>
    <d v="2016-02-09T09:55:00"/>
    <x v="233"/>
    <x v="11"/>
    <x v="839"/>
    <n v="9"/>
    <x v="3"/>
    <x v="2"/>
    <x v="0"/>
    <x v="0"/>
    <x v="1"/>
  </r>
  <r>
    <n v="869019"/>
    <x v="0"/>
    <x v="3"/>
    <n v="42"/>
    <x v="2"/>
    <d v="2016-03-15T10:43:00"/>
    <x v="411"/>
    <x v="1"/>
    <x v="840"/>
    <n v="10"/>
    <x v="3"/>
    <x v="1"/>
    <x v="0"/>
    <x v="4"/>
    <x v="1"/>
  </r>
  <r>
    <n v="869019"/>
    <x v="0"/>
    <x v="3"/>
    <n v="42"/>
    <x v="2"/>
    <d v="2016-03-26T06:32:00"/>
    <x v="316"/>
    <x v="3"/>
    <x v="841"/>
    <n v="6"/>
    <x v="6"/>
    <x v="1"/>
    <x v="1"/>
    <x v="4"/>
    <x v="1"/>
  </r>
  <r>
    <n v="789265"/>
    <x v="0"/>
    <x v="3"/>
    <n v="32"/>
    <x v="8"/>
    <d v="2016-02-08T23:09:00"/>
    <x v="417"/>
    <x v="3"/>
    <x v="842"/>
    <n v="23"/>
    <x v="0"/>
    <x v="2"/>
    <x v="0"/>
    <x v="0"/>
    <x v="4"/>
  </r>
  <r>
    <n v="882400"/>
    <x v="0"/>
    <x v="3"/>
    <n v="24"/>
    <x v="2"/>
    <d v="2016-03-19T18:41:00"/>
    <x v="165"/>
    <x v="6"/>
    <x v="843"/>
    <n v="18"/>
    <x v="6"/>
    <x v="1"/>
    <x v="1"/>
    <x v="3"/>
    <x v="0"/>
  </r>
  <r>
    <n v="918332"/>
    <x v="2"/>
    <x v="2"/>
    <n v="23"/>
    <x v="2"/>
    <d v="2016-03-28T20:41:00"/>
    <x v="71"/>
    <x v="6"/>
    <x v="844"/>
    <n v="20"/>
    <x v="0"/>
    <x v="1"/>
    <x v="0"/>
    <x v="3"/>
    <x v="0"/>
  </r>
  <r>
    <n v="918332"/>
    <x v="2"/>
    <x v="2"/>
    <n v="23"/>
    <x v="2"/>
    <d v="2016-03-30T14:25:00"/>
    <x v="0"/>
    <x v="1"/>
    <x v="845"/>
    <n v="14"/>
    <x v="1"/>
    <x v="1"/>
    <x v="0"/>
    <x v="3"/>
    <x v="2"/>
  </r>
  <r>
    <n v="918332"/>
    <x v="2"/>
    <x v="2"/>
    <n v="23"/>
    <x v="2"/>
    <d v="2016-03-29T08:47:00"/>
    <x v="418"/>
    <x v="7"/>
    <x v="846"/>
    <n v="8"/>
    <x v="3"/>
    <x v="1"/>
    <x v="0"/>
    <x v="3"/>
    <x v="1"/>
  </r>
  <r>
    <n v="809063"/>
    <x v="0"/>
    <x v="4"/>
    <n v="32"/>
    <x v="2"/>
    <d v="2016-02-20T12:58:00"/>
    <x v="200"/>
    <x v="0"/>
    <x v="847"/>
    <n v="12"/>
    <x v="6"/>
    <x v="2"/>
    <x v="1"/>
    <x v="0"/>
    <x v="2"/>
  </r>
  <r>
    <n v="809063"/>
    <x v="0"/>
    <x v="4"/>
    <n v="32"/>
    <x v="2"/>
    <d v="2016-02-20T11:15:00"/>
    <x v="51"/>
    <x v="7"/>
    <x v="848"/>
    <n v="11"/>
    <x v="6"/>
    <x v="2"/>
    <x v="1"/>
    <x v="0"/>
    <x v="2"/>
  </r>
  <r>
    <n v="809063"/>
    <x v="0"/>
    <x v="4"/>
    <n v="32"/>
    <x v="2"/>
    <d v="2016-02-24T07:00:00"/>
    <x v="419"/>
    <x v="7"/>
    <x v="849"/>
    <n v="7"/>
    <x v="1"/>
    <x v="2"/>
    <x v="0"/>
    <x v="0"/>
    <x v="1"/>
  </r>
  <r>
    <n v="2368583"/>
    <x v="0"/>
    <x v="2"/>
    <n v="27"/>
    <x v="6"/>
    <d v="2016-02-26T16:27:00"/>
    <x v="420"/>
    <x v="1"/>
    <x v="850"/>
    <n v="16"/>
    <x v="2"/>
    <x v="2"/>
    <x v="0"/>
    <x v="3"/>
    <x v="2"/>
  </r>
  <r>
    <n v="2368583"/>
    <x v="0"/>
    <x v="2"/>
    <n v="27"/>
    <x v="6"/>
    <d v="2016-02-19T09:13:00"/>
    <x v="104"/>
    <x v="6"/>
    <x v="851"/>
    <n v="9"/>
    <x v="2"/>
    <x v="2"/>
    <x v="0"/>
    <x v="3"/>
    <x v="1"/>
  </r>
  <r>
    <n v="786181"/>
    <x v="0"/>
    <x v="4"/>
    <n v="27"/>
    <x v="2"/>
    <d v="2016-03-05T19:14:00"/>
    <x v="157"/>
    <x v="7"/>
    <x v="852"/>
    <n v="19"/>
    <x v="6"/>
    <x v="1"/>
    <x v="1"/>
    <x v="3"/>
    <x v="0"/>
  </r>
  <r>
    <n v="2285716"/>
    <x v="0"/>
    <x v="3"/>
    <n v="27"/>
    <x v="2"/>
    <d v="2016-03-24T14:48:00"/>
    <x v="172"/>
    <x v="6"/>
    <x v="853"/>
    <n v="14"/>
    <x v="5"/>
    <x v="1"/>
    <x v="0"/>
    <x v="3"/>
    <x v="2"/>
  </r>
  <r>
    <n v="2285716"/>
    <x v="0"/>
    <x v="3"/>
    <n v="27"/>
    <x v="2"/>
    <d v="2016-03-29T17:47:00"/>
    <x v="18"/>
    <x v="7"/>
    <x v="854"/>
    <n v="17"/>
    <x v="3"/>
    <x v="1"/>
    <x v="0"/>
    <x v="3"/>
    <x v="0"/>
  </r>
  <r>
    <n v="793697"/>
    <x v="0"/>
    <x v="1"/>
    <n v="55"/>
    <x v="4"/>
    <d v="2016-02-25T14:08:00"/>
    <x v="250"/>
    <x v="7"/>
    <x v="855"/>
    <n v="14"/>
    <x v="5"/>
    <x v="2"/>
    <x v="0"/>
    <x v="2"/>
    <x v="2"/>
  </r>
  <r>
    <n v="939729"/>
    <x v="0"/>
    <x v="0"/>
    <n v="34"/>
    <x v="3"/>
    <d v="2016-03-05T08:51:00"/>
    <x v="421"/>
    <x v="1"/>
    <x v="856"/>
    <n v="8"/>
    <x v="6"/>
    <x v="1"/>
    <x v="1"/>
    <x v="0"/>
    <x v="1"/>
  </r>
  <r>
    <n v="939729"/>
    <x v="0"/>
    <x v="0"/>
    <n v="34"/>
    <x v="3"/>
    <d v="2016-03-12T20:22:00"/>
    <x v="422"/>
    <x v="12"/>
    <x v="857"/>
    <n v="20"/>
    <x v="6"/>
    <x v="1"/>
    <x v="1"/>
    <x v="0"/>
    <x v="0"/>
  </r>
  <r>
    <n v="939732"/>
    <x v="0"/>
    <x v="4"/>
    <n v="33"/>
    <x v="2"/>
    <d v="2016-03-24T19:10:00"/>
    <x v="423"/>
    <x v="12"/>
    <x v="858"/>
    <n v="19"/>
    <x v="5"/>
    <x v="1"/>
    <x v="0"/>
    <x v="0"/>
    <x v="0"/>
  </r>
  <r>
    <n v="939732"/>
    <x v="0"/>
    <x v="4"/>
    <n v="33"/>
    <x v="2"/>
    <d v="2016-03-30T22:38:00"/>
    <x v="424"/>
    <x v="12"/>
    <x v="859"/>
    <n v="22"/>
    <x v="1"/>
    <x v="1"/>
    <x v="0"/>
    <x v="0"/>
    <x v="4"/>
  </r>
  <r>
    <n v="771927"/>
    <x v="2"/>
    <x v="1"/>
    <n v="36"/>
    <x v="0"/>
    <d v="2016-01-31T09:08:00"/>
    <x v="425"/>
    <x v="6"/>
    <x v="860"/>
    <n v="9"/>
    <x v="4"/>
    <x v="0"/>
    <x v="1"/>
    <x v="0"/>
    <x v="1"/>
  </r>
  <r>
    <n v="771927"/>
    <x v="2"/>
    <x v="1"/>
    <n v="36"/>
    <x v="0"/>
    <d v="2016-01-29T16:32:00"/>
    <x v="144"/>
    <x v="12"/>
    <x v="861"/>
    <n v="16"/>
    <x v="2"/>
    <x v="0"/>
    <x v="0"/>
    <x v="0"/>
    <x v="2"/>
  </r>
  <r>
    <n v="771927"/>
    <x v="2"/>
    <x v="1"/>
    <n v="36"/>
    <x v="0"/>
    <d v="2016-01-28T13:00:00"/>
    <x v="426"/>
    <x v="7"/>
    <x v="862"/>
    <n v="13"/>
    <x v="5"/>
    <x v="0"/>
    <x v="0"/>
    <x v="0"/>
    <x v="2"/>
  </r>
  <r>
    <n v="771927"/>
    <x v="2"/>
    <x v="1"/>
    <n v="36"/>
    <x v="0"/>
    <d v="2016-02-01T08:12:00"/>
    <x v="427"/>
    <x v="6"/>
    <x v="863"/>
    <n v="8"/>
    <x v="0"/>
    <x v="2"/>
    <x v="0"/>
    <x v="0"/>
    <x v="1"/>
  </r>
  <r>
    <n v="771927"/>
    <x v="2"/>
    <x v="1"/>
    <n v="36"/>
    <x v="0"/>
    <d v="2016-01-27T14:14:00"/>
    <x v="32"/>
    <x v="6"/>
    <x v="864"/>
    <n v="14"/>
    <x v="1"/>
    <x v="0"/>
    <x v="0"/>
    <x v="0"/>
    <x v="2"/>
  </r>
  <r>
    <n v="771927"/>
    <x v="2"/>
    <x v="1"/>
    <n v="36"/>
    <x v="0"/>
    <d v="2016-01-27T05:55:00"/>
    <x v="85"/>
    <x v="7"/>
    <x v="865"/>
    <n v="5"/>
    <x v="1"/>
    <x v="0"/>
    <x v="0"/>
    <x v="0"/>
    <x v="1"/>
  </r>
  <r>
    <n v="771927"/>
    <x v="2"/>
    <x v="1"/>
    <n v="36"/>
    <x v="0"/>
    <d v="2016-01-30T16:39:00"/>
    <x v="103"/>
    <x v="5"/>
    <x v="866"/>
    <n v="16"/>
    <x v="6"/>
    <x v="0"/>
    <x v="1"/>
    <x v="0"/>
    <x v="2"/>
  </r>
  <r>
    <n v="432894"/>
    <x v="2"/>
    <x v="4"/>
    <n v="35"/>
    <x v="5"/>
    <d v="2016-01-08T03:10:00"/>
    <x v="11"/>
    <x v="7"/>
    <x v="867"/>
    <n v="3"/>
    <x v="2"/>
    <x v="0"/>
    <x v="0"/>
    <x v="0"/>
    <x v="3"/>
  </r>
  <r>
    <n v="492897"/>
    <x v="0"/>
    <x v="0"/>
    <n v="23"/>
    <x v="5"/>
    <d v="2016-01-20T14:11:00"/>
    <x v="428"/>
    <x v="4"/>
    <x v="868"/>
    <n v="14"/>
    <x v="1"/>
    <x v="0"/>
    <x v="0"/>
    <x v="3"/>
    <x v="2"/>
  </r>
  <r>
    <n v="492897"/>
    <x v="0"/>
    <x v="0"/>
    <n v="23"/>
    <x v="5"/>
    <d v="2016-01-18T23:01:00"/>
    <x v="259"/>
    <x v="0"/>
    <x v="869"/>
    <n v="23"/>
    <x v="0"/>
    <x v="0"/>
    <x v="0"/>
    <x v="3"/>
    <x v="4"/>
  </r>
  <r>
    <n v="894339"/>
    <x v="0"/>
    <x v="2"/>
    <n v="35"/>
    <x v="4"/>
    <d v="2016-03-23T12:18:00"/>
    <x v="11"/>
    <x v="1"/>
    <x v="870"/>
    <n v="12"/>
    <x v="1"/>
    <x v="1"/>
    <x v="0"/>
    <x v="0"/>
    <x v="2"/>
  </r>
  <r>
    <n v="930123"/>
    <x v="0"/>
    <x v="2"/>
    <n v="31"/>
    <x v="2"/>
    <d v="2016-03-31T09:49:00"/>
    <x v="45"/>
    <x v="12"/>
    <x v="871"/>
    <n v="9"/>
    <x v="5"/>
    <x v="1"/>
    <x v="0"/>
    <x v="0"/>
    <x v="1"/>
  </r>
  <r>
    <n v="930123"/>
    <x v="0"/>
    <x v="2"/>
    <n v="31"/>
    <x v="2"/>
    <d v="2016-03-31T19:52:00"/>
    <x v="429"/>
    <x v="7"/>
    <x v="872"/>
    <n v="19"/>
    <x v="5"/>
    <x v="1"/>
    <x v="0"/>
    <x v="0"/>
    <x v="0"/>
  </r>
  <r>
    <n v="592732"/>
    <x v="0"/>
    <x v="4"/>
    <n v="45"/>
    <x v="6"/>
    <d v="2016-01-13T05:04:00"/>
    <x v="430"/>
    <x v="11"/>
    <x v="873"/>
    <n v="5"/>
    <x v="1"/>
    <x v="0"/>
    <x v="0"/>
    <x v="4"/>
    <x v="1"/>
  </r>
  <r>
    <n v="904340"/>
    <x v="0"/>
    <x v="2"/>
    <n v="28"/>
    <x v="2"/>
    <d v="2016-03-27T17:38:00"/>
    <x v="2"/>
    <x v="8"/>
    <x v="874"/>
    <n v="17"/>
    <x v="4"/>
    <x v="1"/>
    <x v="1"/>
    <x v="3"/>
    <x v="0"/>
  </r>
  <r>
    <n v="904340"/>
    <x v="0"/>
    <x v="2"/>
    <n v="28"/>
    <x v="2"/>
    <d v="2016-03-27T17:45:00"/>
    <x v="168"/>
    <x v="13"/>
    <x v="875"/>
    <n v="17"/>
    <x v="4"/>
    <x v="1"/>
    <x v="1"/>
    <x v="3"/>
    <x v="0"/>
  </r>
  <r>
    <n v="904340"/>
    <x v="0"/>
    <x v="2"/>
    <n v="28"/>
    <x v="2"/>
    <d v="2016-03-26T21:29:00"/>
    <x v="11"/>
    <x v="8"/>
    <x v="876"/>
    <n v="21"/>
    <x v="6"/>
    <x v="1"/>
    <x v="1"/>
    <x v="3"/>
    <x v="0"/>
  </r>
  <r>
    <n v="820491"/>
    <x v="0"/>
    <x v="4"/>
    <n v="48"/>
    <x v="2"/>
    <d v="2016-03-01T04:12:00"/>
    <x v="66"/>
    <x v="6"/>
    <x v="877"/>
    <n v="4"/>
    <x v="3"/>
    <x v="1"/>
    <x v="0"/>
    <x v="4"/>
    <x v="3"/>
  </r>
  <r>
    <n v="859431"/>
    <x v="0"/>
    <x v="4"/>
    <n v="42"/>
    <x v="0"/>
    <d v="2016-01-07T12:55:00"/>
    <x v="66"/>
    <x v="2"/>
    <x v="878"/>
    <n v="12"/>
    <x v="5"/>
    <x v="0"/>
    <x v="0"/>
    <x v="4"/>
    <x v="2"/>
  </r>
  <r>
    <n v="820492"/>
    <x v="0"/>
    <x v="4"/>
    <n v="54"/>
    <x v="6"/>
    <d v="2016-01-11T05:47:00"/>
    <x v="431"/>
    <x v="0"/>
    <x v="879"/>
    <n v="5"/>
    <x v="0"/>
    <x v="0"/>
    <x v="0"/>
    <x v="2"/>
    <x v="1"/>
  </r>
  <r>
    <n v="820492"/>
    <x v="0"/>
    <x v="4"/>
    <n v="54"/>
    <x v="6"/>
    <d v="2016-03-12T14:30:00"/>
    <x v="11"/>
    <x v="12"/>
    <x v="880"/>
    <n v="14"/>
    <x v="6"/>
    <x v="1"/>
    <x v="1"/>
    <x v="2"/>
    <x v="2"/>
  </r>
  <r>
    <n v="820492"/>
    <x v="0"/>
    <x v="4"/>
    <n v="54"/>
    <x v="6"/>
    <d v="2016-03-09T15:32:00"/>
    <x v="165"/>
    <x v="11"/>
    <x v="881"/>
    <n v="15"/>
    <x v="1"/>
    <x v="1"/>
    <x v="0"/>
    <x v="2"/>
    <x v="2"/>
  </r>
  <r>
    <n v="71489"/>
    <x v="0"/>
    <x v="4"/>
    <n v="25"/>
    <x v="4"/>
    <d v="2016-03-20T15:40:00"/>
    <x v="11"/>
    <x v="6"/>
    <x v="882"/>
    <n v="15"/>
    <x v="4"/>
    <x v="1"/>
    <x v="1"/>
    <x v="3"/>
    <x v="2"/>
  </r>
  <r>
    <n v="892603"/>
    <x v="0"/>
    <x v="4"/>
    <n v="39"/>
    <x v="3"/>
    <d v="2016-03-22T20:00:00"/>
    <x v="103"/>
    <x v="7"/>
    <x v="883"/>
    <n v="20"/>
    <x v="3"/>
    <x v="1"/>
    <x v="0"/>
    <x v="4"/>
    <x v="0"/>
  </r>
  <r>
    <n v="809071"/>
    <x v="0"/>
    <x v="4"/>
    <n v="35"/>
    <x v="2"/>
    <d v="2016-03-05T06:19:00"/>
    <x v="295"/>
    <x v="13"/>
    <x v="884"/>
    <n v="6"/>
    <x v="6"/>
    <x v="1"/>
    <x v="1"/>
    <x v="0"/>
    <x v="1"/>
  </r>
  <r>
    <n v="809072"/>
    <x v="0"/>
    <x v="4"/>
    <n v="32"/>
    <x v="4"/>
    <d v="2016-02-22T08:15:00"/>
    <x v="432"/>
    <x v="3"/>
    <x v="885"/>
    <n v="8"/>
    <x v="0"/>
    <x v="2"/>
    <x v="0"/>
    <x v="0"/>
    <x v="1"/>
  </r>
  <r>
    <n v="809072"/>
    <x v="0"/>
    <x v="4"/>
    <n v="32"/>
    <x v="4"/>
    <d v="2016-02-21T15:47:00"/>
    <x v="132"/>
    <x v="3"/>
    <x v="886"/>
    <n v="15"/>
    <x v="4"/>
    <x v="2"/>
    <x v="1"/>
    <x v="0"/>
    <x v="2"/>
  </r>
  <r>
    <n v="809072"/>
    <x v="0"/>
    <x v="4"/>
    <n v="32"/>
    <x v="4"/>
    <d v="2016-02-12T06:24:00"/>
    <x v="433"/>
    <x v="4"/>
    <x v="887"/>
    <n v="6"/>
    <x v="2"/>
    <x v="2"/>
    <x v="0"/>
    <x v="0"/>
    <x v="1"/>
  </r>
  <r>
    <n v="809076"/>
    <x v="0"/>
    <x v="0"/>
    <n v="27"/>
    <x v="0"/>
    <d v="2016-02-19T22:48:00"/>
    <x v="434"/>
    <x v="5"/>
    <x v="888"/>
    <n v="22"/>
    <x v="2"/>
    <x v="2"/>
    <x v="0"/>
    <x v="3"/>
    <x v="4"/>
  </r>
  <r>
    <n v="809076"/>
    <x v="0"/>
    <x v="0"/>
    <n v="27"/>
    <x v="0"/>
    <d v="2016-02-19T16:47:00"/>
    <x v="186"/>
    <x v="4"/>
    <x v="889"/>
    <n v="16"/>
    <x v="2"/>
    <x v="2"/>
    <x v="0"/>
    <x v="3"/>
    <x v="2"/>
  </r>
  <r>
    <n v="809076"/>
    <x v="0"/>
    <x v="0"/>
    <n v="27"/>
    <x v="0"/>
    <d v="2016-02-20T07:16:00"/>
    <x v="17"/>
    <x v="1"/>
    <x v="890"/>
    <n v="7"/>
    <x v="6"/>
    <x v="2"/>
    <x v="1"/>
    <x v="3"/>
    <x v="1"/>
  </r>
  <r>
    <n v="809076"/>
    <x v="0"/>
    <x v="0"/>
    <n v="27"/>
    <x v="0"/>
    <d v="2016-02-20T07:20:00"/>
    <x v="349"/>
    <x v="6"/>
    <x v="891"/>
    <n v="7"/>
    <x v="6"/>
    <x v="2"/>
    <x v="1"/>
    <x v="3"/>
    <x v="1"/>
  </r>
  <r>
    <n v="809076"/>
    <x v="0"/>
    <x v="0"/>
    <n v="27"/>
    <x v="0"/>
    <d v="2016-02-19T05:55:00"/>
    <x v="435"/>
    <x v="4"/>
    <x v="892"/>
    <n v="5"/>
    <x v="2"/>
    <x v="2"/>
    <x v="0"/>
    <x v="3"/>
    <x v="1"/>
  </r>
  <r>
    <n v="809076"/>
    <x v="0"/>
    <x v="0"/>
    <n v="27"/>
    <x v="0"/>
    <d v="2016-02-19T06:22:00"/>
    <x v="136"/>
    <x v="6"/>
    <x v="893"/>
    <n v="6"/>
    <x v="2"/>
    <x v="2"/>
    <x v="0"/>
    <x v="3"/>
    <x v="1"/>
  </r>
  <r>
    <n v="809076"/>
    <x v="0"/>
    <x v="0"/>
    <n v="27"/>
    <x v="0"/>
    <d v="2016-03-08T12:30:00"/>
    <x v="436"/>
    <x v="4"/>
    <x v="894"/>
    <n v="12"/>
    <x v="3"/>
    <x v="1"/>
    <x v="0"/>
    <x v="3"/>
    <x v="2"/>
  </r>
  <r>
    <n v="809076"/>
    <x v="0"/>
    <x v="0"/>
    <n v="27"/>
    <x v="0"/>
    <d v="2016-03-18T11:25:00"/>
    <x v="147"/>
    <x v="6"/>
    <x v="895"/>
    <n v="11"/>
    <x v="2"/>
    <x v="1"/>
    <x v="0"/>
    <x v="3"/>
    <x v="2"/>
  </r>
  <r>
    <n v="809076"/>
    <x v="0"/>
    <x v="0"/>
    <n v="27"/>
    <x v="0"/>
    <d v="2016-03-04T21:10:00"/>
    <x v="419"/>
    <x v="11"/>
    <x v="896"/>
    <n v="21"/>
    <x v="2"/>
    <x v="1"/>
    <x v="0"/>
    <x v="3"/>
    <x v="0"/>
  </r>
  <r>
    <n v="809076"/>
    <x v="0"/>
    <x v="0"/>
    <n v="27"/>
    <x v="0"/>
    <d v="2016-03-04T23:03:00"/>
    <x v="95"/>
    <x v="4"/>
    <x v="814"/>
    <n v="23"/>
    <x v="2"/>
    <x v="1"/>
    <x v="0"/>
    <x v="3"/>
    <x v="4"/>
  </r>
  <r>
    <n v="809076"/>
    <x v="0"/>
    <x v="0"/>
    <n v="27"/>
    <x v="0"/>
    <d v="2016-02-18T05:53:00"/>
    <x v="437"/>
    <x v="3"/>
    <x v="897"/>
    <n v="5"/>
    <x v="5"/>
    <x v="2"/>
    <x v="0"/>
    <x v="3"/>
    <x v="1"/>
  </r>
  <r>
    <n v="809076"/>
    <x v="0"/>
    <x v="0"/>
    <n v="27"/>
    <x v="0"/>
    <d v="2016-02-18T06:14:00"/>
    <x v="438"/>
    <x v="4"/>
    <x v="898"/>
    <n v="6"/>
    <x v="5"/>
    <x v="2"/>
    <x v="0"/>
    <x v="3"/>
    <x v="1"/>
  </r>
  <r>
    <n v="809076"/>
    <x v="0"/>
    <x v="0"/>
    <n v="27"/>
    <x v="0"/>
    <d v="2016-03-06T17:10:00"/>
    <x v="82"/>
    <x v="3"/>
    <x v="899"/>
    <n v="17"/>
    <x v="4"/>
    <x v="1"/>
    <x v="1"/>
    <x v="3"/>
    <x v="0"/>
  </r>
  <r>
    <n v="809076"/>
    <x v="0"/>
    <x v="0"/>
    <n v="27"/>
    <x v="0"/>
    <d v="2016-02-27T06:37:00"/>
    <x v="373"/>
    <x v="11"/>
    <x v="900"/>
    <n v="6"/>
    <x v="6"/>
    <x v="2"/>
    <x v="1"/>
    <x v="3"/>
    <x v="1"/>
  </r>
  <r>
    <n v="809076"/>
    <x v="0"/>
    <x v="0"/>
    <n v="27"/>
    <x v="0"/>
    <d v="2016-03-12T11:09:00"/>
    <x v="139"/>
    <x v="1"/>
    <x v="901"/>
    <n v="11"/>
    <x v="6"/>
    <x v="1"/>
    <x v="1"/>
    <x v="3"/>
    <x v="2"/>
  </r>
  <r>
    <n v="809076"/>
    <x v="0"/>
    <x v="0"/>
    <n v="27"/>
    <x v="0"/>
    <d v="2016-03-12T17:01:00"/>
    <x v="133"/>
    <x v="6"/>
    <x v="902"/>
    <n v="17"/>
    <x v="6"/>
    <x v="1"/>
    <x v="1"/>
    <x v="3"/>
    <x v="0"/>
  </r>
  <r>
    <n v="809076"/>
    <x v="0"/>
    <x v="0"/>
    <n v="27"/>
    <x v="0"/>
    <d v="2016-03-21T12:33:00"/>
    <x v="196"/>
    <x v="4"/>
    <x v="903"/>
    <n v="12"/>
    <x v="0"/>
    <x v="1"/>
    <x v="0"/>
    <x v="3"/>
    <x v="2"/>
  </r>
  <r>
    <n v="918340"/>
    <x v="0"/>
    <x v="2"/>
    <n v="30"/>
    <x v="2"/>
    <d v="2016-03-28T10:26:00"/>
    <x v="48"/>
    <x v="3"/>
    <x v="904"/>
    <n v="10"/>
    <x v="0"/>
    <x v="1"/>
    <x v="0"/>
    <x v="0"/>
    <x v="1"/>
  </r>
  <r>
    <n v="809079"/>
    <x v="0"/>
    <x v="4"/>
    <n v="30"/>
    <x v="5"/>
    <d v="2016-02-22T19:08:00"/>
    <x v="51"/>
    <x v="5"/>
    <x v="905"/>
    <n v="19"/>
    <x v="0"/>
    <x v="2"/>
    <x v="0"/>
    <x v="0"/>
    <x v="0"/>
  </r>
  <r>
    <n v="809079"/>
    <x v="0"/>
    <x v="4"/>
    <n v="30"/>
    <x v="5"/>
    <d v="2016-02-21T13:27:00"/>
    <x v="83"/>
    <x v="11"/>
    <x v="906"/>
    <n v="13"/>
    <x v="4"/>
    <x v="2"/>
    <x v="1"/>
    <x v="0"/>
    <x v="2"/>
  </r>
  <r>
    <n v="809079"/>
    <x v="0"/>
    <x v="4"/>
    <n v="30"/>
    <x v="5"/>
    <d v="2016-02-21T17:15:00"/>
    <x v="109"/>
    <x v="3"/>
    <x v="907"/>
    <n v="17"/>
    <x v="4"/>
    <x v="2"/>
    <x v="1"/>
    <x v="0"/>
    <x v="0"/>
  </r>
  <r>
    <n v="809079"/>
    <x v="0"/>
    <x v="4"/>
    <n v="30"/>
    <x v="5"/>
    <d v="2016-02-21T17:22:00"/>
    <x v="2"/>
    <x v="7"/>
    <x v="908"/>
    <n v="17"/>
    <x v="4"/>
    <x v="2"/>
    <x v="1"/>
    <x v="0"/>
    <x v="0"/>
  </r>
  <r>
    <n v="820500"/>
    <x v="2"/>
    <x v="4"/>
    <n v="26"/>
    <x v="4"/>
    <d v="2016-02-26T09:51:00"/>
    <x v="51"/>
    <x v="6"/>
    <x v="909"/>
    <n v="9"/>
    <x v="2"/>
    <x v="2"/>
    <x v="0"/>
    <x v="3"/>
    <x v="1"/>
  </r>
  <r>
    <n v="819358"/>
    <x v="0"/>
    <x v="3"/>
    <n v="39"/>
    <x v="0"/>
    <d v="2016-02-26T20:38:00"/>
    <x v="300"/>
    <x v="0"/>
    <x v="910"/>
    <n v="20"/>
    <x v="2"/>
    <x v="2"/>
    <x v="0"/>
    <x v="4"/>
    <x v="0"/>
  </r>
  <r>
    <n v="819358"/>
    <x v="0"/>
    <x v="3"/>
    <n v="39"/>
    <x v="0"/>
    <d v="2016-03-02T11:59:00"/>
    <x v="267"/>
    <x v="1"/>
    <x v="911"/>
    <n v="11"/>
    <x v="1"/>
    <x v="1"/>
    <x v="0"/>
    <x v="4"/>
    <x v="2"/>
  </r>
  <r>
    <n v="819358"/>
    <x v="0"/>
    <x v="3"/>
    <n v="39"/>
    <x v="0"/>
    <d v="2016-03-19T16:24:00"/>
    <x v="372"/>
    <x v="6"/>
    <x v="912"/>
    <n v="16"/>
    <x v="6"/>
    <x v="1"/>
    <x v="1"/>
    <x v="4"/>
    <x v="2"/>
  </r>
  <r>
    <n v="242356"/>
    <x v="0"/>
    <x v="3"/>
    <n v="30"/>
    <x v="2"/>
    <d v="2016-03-01T09:03:00"/>
    <x v="11"/>
    <x v="1"/>
    <x v="913"/>
    <n v="9"/>
    <x v="3"/>
    <x v="1"/>
    <x v="0"/>
    <x v="0"/>
    <x v="1"/>
  </r>
  <r>
    <n v="422095"/>
    <x v="1"/>
    <x v="1"/>
    <n v="0"/>
    <x v="1"/>
    <d v="2016-03-30T14:24:00"/>
    <x v="19"/>
    <x v="1"/>
    <x v="914"/>
    <n v="14"/>
    <x v="1"/>
    <x v="1"/>
    <x v="0"/>
    <x v="1"/>
    <x v="2"/>
  </r>
  <r>
    <n v="859438"/>
    <x v="0"/>
    <x v="0"/>
    <n v="26"/>
    <x v="0"/>
    <d v="2016-03-11T02:21:00"/>
    <x v="161"/>
    <x v="4"/>
    <x v="915"/>
    <n v="2"/>
    <x v="2"/>
    <x v="1"/>
    <x v="0"/>
    <x v="3"/>
    <x v="3"/>
  </r>
  <r>
    <n v="830921"/>
    <x v="0"/>
    <x v="3"/>
    <n v="22"/>
    <x v="3"/>
    <d v="2016-03-03T19:24:00"/>
    <x v="163"/>
    <x v="0"/>
    <x v="916"/>
    <n v="19"/>
    <x v="5"/>
    <x v="1"/>
    <x v="0"/>
    <x v="3"/>
    <x v="0"/>
  </r>
  <r>
    <n v="866295"/>
    <x v="0"/>
    <x v="1"/>
    <n v="43"/>
    <x v="2"/>
    <d v="2016-03-15T11:01:00"/>
    <x v="439"/>
    <x v="1"/>
    <x v="917"/>
    <n v="11"/>
    <x v="3"/>
    <x v="1"/>
    <x v="0"/>
    <x v="4"/>
    <x v="2"/>
  </r>
  <r>
    <n v="830923"/>
    <x v="0"/>
    <x v="0"/>
    <n v="31"/>
    <x v="0"/>
    <d v="2016-03-03T09:16:00"/>
    <x v="440"/>
    <x v="0"/>
    <x v="918"/>
    <n v="9"/>
    <x v="5"/>
    <x v="1"/>
    <x v="0"/>
    <x v="0"/>
    <x v="1"/>
  </r>
  <r>
    <n v="830923"/>
    <x v="0"/>
    <x v="0"/>
    <n v="31"/>
    <x v="0"/>
    <d v="2016-03-03T15:09:00"/>
    <x v="33"/>
    <x v="8"/>
    <x v="919"/>
    <n v="15"/>
    <x v="5"/>
    <x v="1"/>
    <x v="0"/>
    <x v="0"/>
    <x v="2"/>
  </r>
  <r>
    <n v="830923"/>
    <x v="0"/>
    <x v="0"/>
    <n v="31"/>
    <x v="0"/>
    <d v="2016-03-04T12:30:00"/>
    <x v="31"/>
    <x v="0"/>
    <x v="920"/>
    <n v="12"/>
    <x v="2"/>
    <x v="1"/>
    <x v="0"/>
    <x v="0"/>
    <x v="2"/>
  </r>
  <r>
    <n v="173765"/>
    <x v="1"/>
    <x v="1"/>
    <n v="0"/>
    <x v="1"/>
    <d v="2016-01-08T07:29:00"/>
    <x v="81"/>
    <x v="0"/>
    <x v="921"/>
    <n v="7"/>
    <x v="2"/>
    <x v="0"/>
    <x v="0"/>
    <x v="1"/>
    <x v="1"/>
  </r>
  <r>
    <n v="1324574"/>
    <x v="0"/>
    <x v="4"/>
    <n v="39"/>
    <x v="2"/>
    <d v="2016-03-05T01:39:00"/>
    <x v="11"/>
    <x v="0"/>
    <x v="922"/>
    <n v="1"/>
    <x v="6"/>
    <x v="1"/>
    <x v="1"/>
    <x v="4"/>
    <x v="3"/>
  </r>
  <r>
    <n v="939753"/>
    <x v="0"/>
    <x v="0"/>
    <n v="43"/>
    <x v="0"/>
    <d v="2016-03-19T11:38:00"/>
    <x v="51"/>
    <x v="2"/>
    <x v="923"/>
    <n v="11"/>
    <x v="6"/>
    <x v="1"/>
    <x v="1"/>
    <x v="4"/>
    <x v="2"/>
  </r>
  <r>
    <n v="86703"/>
    <x v="0"/>
    <x v="2"/>
    <n v="24"/>
    <x v="2"/>
    <d v="2016-03-19T22:08:00"/>
    <x v="11"/>
    <x v="6"/>
    <x v="924"/>
    <n v="22"/>
    <x v="6"/>
    <x v="1"/>
    <x v="1"/>
    <x v="3"/>
    <x v="4"/>
  </r>
  <r>
    <n v="809081"/>
    <x v="0"/>
    <x v="4"/>
    <n v="23"/>
    <x v="2"/>
    <d v="2016-02-20T14:36:00"/>
    <x v="68"/>
    <x v="6"/>
    <x v="925"/>
    <n v="14"/>
    <x v="6"/>
    <x v="2"/>
    <x v="1"/>
    <x v="3"/>
    <x v="2"/>
  </r>
  <r>
    <n v="809081"/>
    <x v="0"/>
    <x v="4"/>
    <n v="23"/>
    <x v="2"/>
    <d v="2016-02-18T19:48:00"/>
    <x v="441"/>
    <x v="11"/>
    <x v="926"/>
    <n v="19"/>
    <x v="5"/>
    <x v="2"/>
    <x v="0"/>
    <x v="3"/>
    <x v="0"/>
  </r>
  <r>
    <n v="809081"/>
    <x v="0"/>
    <x v="4"/>
    <n v="23"/>
    <x v="2"/>
    <d v="2016-02-21T20:17:00"/>
    <x v="242"/>
    <x v="11"/>
    <x v="927"/>
    <n v="20"/>
    <x v="4"/>
    <x v="2"/>
    <x v="1"/>
    <x v="3"/>
    <x v="0"/>
  </r>
  <r>
    <n v="809081"/>
    <x v="0"/>
    <x v="4"/>
    <n v="23"/>
    <x v="2"/>
    <d v="2016-03-09T17:24:00"/>
    <x v="57"/>
    <x v="11"/>
    <x v="928"/>
    <n v="17"/>
    <x v="1"/>
    <x v="1"/>
    <x v="0"/>
    <x v="3"/>
    <x v="0"/>
  </r>
  <r>
    <n v="866302"/>
    <x v="0"/>
    <x v="0"/>
    <n v="45"/>
    <x v="0"/>
    <d v="2016-03-13T19:10:00"/>
    <x v="254"/>
    <x v="7"/>
    <x v="929"/>
    <n v="19"/>
    <x v="4"/>
    <x v="1"/>
    <x v="1"/>
    <x v="4"/>
    <x v="0"/>
  </r>
  <r>
    <n v="866302"/>
    <x v="0"/>
    <x v="0"/>
    <n v="45"/>
    <x v="0"/>
    <d v="2016-03-19T12:08:00"/>
    <x v="442"/>
    <x v="0"/>
    <x v="930"/>
    <n v="12"/>
    <x v="6"/>
    <x v="1"/>
    <x v="1"/>
    <x v="4"/>
    <x v="2"/>
  </r>
  <r>
    <n v="866302"/>
    <x v="0"/>
    <x v="0"/>
    <n v="45"/>
    <x v="0"/>
    <d v="2016-03-30T09:58:00"/>
    <x v="17"/>
    <x v="7"/>
    <x v="931"/>
    <n v="9"/>
    <x v="1"/>
    <x v="1"/>
    <x v="0"/>
    <x v="4"/>
    <x v="1"/>
  </r>
  <r>
    <n v="788787"/>
    <x v="0"/>
    <x v="3"/>
    <n v="19"/>
    <x v="9"/>
    <d v="2016-03-04T12:09:00"/>
    <x v="49"/>
    <x v="5"/>
    <x v="932"/>
    <n v="12"/>
    <x v="2"/>
    <x v="1"/>
    <x v="0"/>
    <x v="3"/>
    <x v="2"/>
  </r>
  <r>
    <n v="788787"/>
    <x v="0"/>
    <x v="3"/>
    <n v="19"/>
    <x v="9"/>
    <d v="2016-03-07T20:46:00"/>
    <x v="66"/>
    <x v="12"/>
    <x v="933"/>
    <n v="20"/>
    <x v="0"/>
    <x v="1"/>
    <x v="0"/>
    <x v="3"/>
    <x v="0"/>
  </r>
  <r>
    <n v="788788"/>
    <x v="0"/>
    <x v="4"/>
    <n v="40"/>
    <x v="4"/>
    <d v="2016-02-03T17:41:00"/>
    <x v="443"/>
    <x v="11"/>
    <x v="934"/>
    <n v="17"/>
    <x v="1"/>
    <x v="2"/>
    <x v="0"/>
    <x v="4"/>
    <x v="0"/>
  </r>
  <r>
    <n v="809083"/>
    <x v="0"/>
    <x v="4"/>
    <n v="40"/>
    <x v="2"/>
    <d v="2016-02-25T12:46:00"/>
    <x v="444"/>
    <x v="7"/>
    <x v="935"/>
    <n v="12"/>
    <x v="5"/>
    <x v="2"/>
    <x v="0"/>
    <x v="4"/>
    <x v="2"/>
  </r>
  <r>
    <n v="809083"/>
    <x v="0"/>
    <x v="4"/>
    <n v="40"/>
    <x v="2"/>
    <d v="2016-02-22T23:29:00"/>
    <x v="71"/>
    <x v="2"/>
    <x v="936"/>
    <n v="23"/>
    <x v="0"/>
    <x v="2"/>
    <x v="0"/>
    <x v="4"/>
    <x v="4"/>
  </r>
  <r>
    <n v="820513"/>
    <x v="0"/>
    <x v="4"/>
    <n v="13"/>
    <x v="0"/>
    <d v="2016-03-02T14:01:00"/>
    <x v="445"/>
    <x v="11"/>
    <x v="937"/>
    <n v="14"/>
    <x v="1"/>
    <x v="1"/>
    <x v="0"/>
    <x v="1"/>
    <x v="2"/>
  </r>
  <r>
    <n v="820513"/>
    <x v="0"/>
    <x v="4"/>
    <n v="13"/>
    <x v="0"/>
    <d v="2016-03-03T19:26:00"/>
    <x v="446"/>
    <x v="0"/>
    <x v="938"/>
    <n v="19"/>
    <x v="5"/>
    <x v="1"/>
    <x v="0"/>
    <x v="1"/>
    <x v="0"/>
  </r>
  <r>
    <n v="820513"/>
    <x v="0"/>
    <x v="4"/>
    <n v="13"/>
    <x v="0"/>
    <d v="2016-02-27T19:05:00"/>
    <x v="176"/>
    <x v="9"/>
    <x v="939"/>
    <n v="19"/>
    <x v="6"/>
    <x v="2"/>
    <x v="1"/>
    <x v="1"/>
    <x v="0"/>
  </r>
  <r>
    <n v="820513"/>
    <x v="0"/>
    <x v="4"/>
    <n v="13"/>
    <x v="0"/>
    <d v="2016-03-16T20:23:00"/>
    <x v="132"/>
    <x v="4"/>
    <x v="940"/>
    <n v="20"/>
    <x v="1"/>
    <x v="1"/>
    <x v="0"/>
    <x v="1"/>
    <x v="0"/>
  </r>
  <r>
    <n v="820513"/>
    <x v="0"/>
    <x v="4"/>
    <n v="13"/>
    <x v="0"/>
    <d v="2016-03-16T20:25:00"/>
    <x v="33"/>
    <x v="4"/>
    <x v="941"/>
    <n v="20"/>
    <x v="1"/>
    <x v="1"/>
    <x v="0"/>
    <x v="1"/>
    <x v="0"/>
  </r>
  <r>
    <n v="820513"/>
    <x v="0"/>
    <x v="4"/>
    <n v="13"/>
    <x v="0"/>
    <d v="2016-03-15T17:47:00"/>
    <x v="447"/>
    <x v="0"/>
    <x v="942"/>
    <n v="17"/>
    <x v="3"/>
    <x v="1"/>
    <x v="0"/>
    <x v="1"/>
    <x v="0"/>
  </r>
  <r>
    <n v="820513"/>
    <x v="0"/>
    <x v="4"/>
    <n v="13"/>
    <x v="0"/>
    <d v="2016-03-09T14:14:00"/>
    <x v="448"/>
    <x v="4"/>
    <x v="943"/>
    <n v="14"/>
    <x v="1"/>
    <x v="1"/>
    <x v="0"/>
    <x v="1"/>
    <x v="2"/>
  </r>
  <r>
    <n v="820513"/>
    <x v="0"/>
    <x v="4"/>
    <n v="13"/>
    <x v="0"/>
    <d v="2016-03-03T05:25:00"/>
    <x v="449"/>
    <x v="0"/>
    <x v="944"/>
    <n v="5"/>
    <x v="5"/>
    <x v="1"/>
    <x v="0"/>
    <x v="1"/>
    <x v="1"/>
  </r>
  <r>
    <n v="820513"/>
    <x v="0"/>
    <x v="4"/>
    <n v="13"/>
    <x v="0"/>
    <d v="2016-03-03T05:26:00"/>
    <x v="450"/>
    <x v="7"/>
    <x v="945"/>
    <n v="5"/>
    <x v="5"/>
    <x v="1"/>
    <x v="0"/>
    <x v="1"/>
    <x v="1"/>
  </r>
  <r>
    <n v="820513"/>
    <x v="0"/>
    <x v="4"/>
    <n v="13"/>
    <x v="0"/>
    <d v="2016-03-21T20:38:00"/>
    <x v="32"/>
    <x v="4"/>
    <x v="946"/>
    <n v="20"/>
    <x v="0"/>
    <x v="1"/>
    <x v="0"/>
    <x v="1"/>
    <x v="0"/>
  </r>
  <r>
    <n v="771941"/>
    <x v="0"/>
    <x v="0"/>
    <n v="24"/>
    <x v="0"/>
    <d v="2016-01-10T16:07:00"/>
    <x v="17"/>
    <x v="4"/>
    <x v="947"/>
    <n v="16"/>
    <x v="4"/>
    <x v="0"/>
    <x v="1"/>
    <x v="3"/>
    <x v="2"/>
  </r>
  <r>
    <n v="771941"/>
    <x v="0"/>
    <x v="0"/>
    <n v="24"/>
    <x v="0"/>
    <d v="2016-01-31T21:05:00"/>
    <x v="451"/>
    <x v="4"/>
    <x v="948"/>
    <n v="21"/>
    <x v="4"/>
    <x v="0"/>
    <x v="1"/>
    <x v="3"/>
    <x v="0"/>
  </r>
  <r>
    <n v="771941"/>
    <x v="0"/>
    <x v="0"/>
    <n v="24"/>
    <x v="0"/>
    <d v="2016-01-11T03:44:00"/>
    <x v="452"/>
    <x v="0"/>
    <x v="949"/>
    <n v="3"/>
    <x v="0"/>
    <x v="0"/>
    <x v="0"/>
    <x v="3"/>
    <x v="3"/>
  </r>
  <r>
    <n v="771941"/>
    <x v="0"/>
    <x v="0"/>
    <n v="24"/>
    <x v="0"/>
    <d v="2016-01-30T19:56:00"/>
    <x v="453"/>
    <x v="4"/>
    <x v="950"/>
    <n v="19"/>
    <x v="6"/>
    <x v="0"/>
    <x v="1"/>
    <x v="3"/>
    <x v="0"/>
  </r>
  <r>
    <n v="771941"/>
    <x v="0"/>
    <x v="0"/>
    <n v="24"/>
    <x v="0"/>
    <d v="2016-01-25T20:01:00"/>
    <x v="231"/>
    <x v="0"/>
    <x v="951"/>
    <n v="20"/>
    <x v="0"/>
    <x v="0"/>
    <x v="0"/>
    <x v="3"/>
    <x v="0"/>
  </r>
  <r>
    <n v="771941"/>
    <x v="0"/>
    <x v="0"/>
    <n v="24"/>
    <x v="0"/>
    <d v="2016-01-11T06:12:00"/>
    <x v="454"/>
    <x v="15"/>
    <x v="952"/>
    <n v="6"/>
    <x v="0"/>
    <x v="0"/>
    <x v="0"/>
    <x v="3"/>
    <x v="1"/>
  </r>
  <r>
    <n v="809085"/>
    <x v="0"/>
    <x v="4"/>
    <n v="28"/>
    <x v="2"/>
    <d v="2016-02-21T07:30:00"/>
    <x v="186"/>
    <x v="4"/>
    <x v="953"/>
    <n v="7"/>
    <x v="4"/>
    <x v="2"/>
    <x v="1"/>
    <x v="3"/>
    <x v="1"/>
  </r>
  <r>
    <n v="809085"/>
    <x v="0"/>
    <x v="4"/>
    <n v="28"/>
    <x v="2"/>
    <d v="2016-02-20T09:18:00"/>
    <x v="11"/>
    <x v="4"/>
    <x v="954"/>
    <n v="9"/>
    <x v="6"/>
    <x v="2"/>
    <x v="1"/>
    <x v="3"/>
    <x v="1"/>
  </r>
  <r>
    <n v="809085"/>
    <x v="0"/>
    <x v="4"/>
    <n v="28"/>
    <x v="2"/>
    <d v="2016-03-13T14:15:00"/>
    <x v="455"/>
    <x v="6"/>
    <x v="955"/>
    <n v="14"/>
    <x v="4"/>
    <x v="1"/>
    <x v="1"/>
    <x v="3"/>
    <x v="2"/>
  </r>
  <r>
    <n v="809085"/>
    <x v="0"/>
    <x v="4"/>
    <n v="28"/>
    <x v="2"/>
    <d v="2016-02-02T19:11:00"/>
    <x v="186"/>
    <x v="7"/>
    <x v="956"/>
    <n v="19"/>
    <x v="3"/>
    <x v="2"/>
    <x v="0"/>
    <x v="3"/>
    <x v="0"/>
  </r>
  <r>
    <n v="809085"/>
    <x v="0"/>
    <x v="4"/>
    <n v="28"/>
    <x v="2"/>
    <d v="2016-03-11T05:21:00"/>
    <x v="19"/>
    <x v="4"/>
    <x v="957"/>
    <n v="5"/>
    <x v="2"/>
    <x v="1"/>
    <x v="0"/>
    <x v="3"/>
    <x v="1"/>
  </r>
  <r>
    <n v="809085"/>
    <x v="0"/>
    <x v="4"/>
    <n v="28"/>
    <x v="2"/>
    <d v="2016-01-20T22:16:00"/>
    <x v="456"/>
    <x v="0"/>
    <x v="958"/>
    <n v="22"/>
    <x v="1"/>
    <x v="0"/>
    <x v="0"/>
    <x v="3"/>
    <x v="4"/>
  </r>
  <r>
    <n v="809085"/>
    <x v="0"/>
    <x v="4"/>
    <n v="28"/>
    <x v="2"/>
    <d v="2016-01-11T07:11:00"/>
    <x v="186"/>
    <x v="4"/>
    <x v="959"/>
    <n v="7"/>
    <x v="0"/>
    <x v="0"/>
    <x v="0"/>
    <x v="3"/>
    <x v="1"/>
  </r>
  <r>
    <n v="809085"/>
    <x v="0"/>
    <x v="4"/>
    <n v="28"/>
    <x v="2"/>
    <d v="2016-01-30T19:11:00"/>
    <x v="11"/>
    <x v="7"/>
    <x v="960"/>
    <n v="19"/>
    <x v="6"/>
    <x v="0"/>
    <x v="1"/>
    <x v="3"/>
    <x v="0"/>
  </r>
  <r>
    <n v="809085"/>
    <x v="0"/>
    <x v="4"/>
    <n v="28"/>
    <x v="2"/>
    <d v="2016-02-27T07:49:00"/>
    <x v="73"/>
    <x v="3"/>
    <x v="961"/>
    <n v="7"/>
    <x v="6"/>
    <x v="2"/>
    <x v="1"/>
    <x v="3"/>
    <x v="1"/>
  </r>
  <r>
    <n v="809085"/>
    <x v="0"/>
    <x v="4"/>
    <n v="28"/>
    <x v="2"/>
    <d v="2016-03-15T15:42:00"/>
    <x v="457"/>
    <x v="1"/>
    <x v="962"/>
    <n v="15"/>
    <x v="3"/>
    <x v="1"/>
    <x v="0"/>
    <x v="3"/>
    <x v="2"/>
  </r>
  <r>
    <n v="809085"/>
    <x v="0"/>
    <x v="4"/>
    <n v="28"/>
    <x v="2"/>
    <d v="2016-03-01T19:48:00"/>
    <x v="458"/>
    <x v="12"/>
    <x v="963"/>
    <n v="19"/>
    <x v="3"/>
    <x v="1"/>
    <x v="0"/>
    <x v="3"/>
    <x v="0"/>
  </r>
  <r>
    <n v="764468"/>
    <x v="0"/>
    <x v="4"/>
    <n v="34"/>
    <x v="2"/>
    <d v="2016-02-02T06:59:00"/>
    <x v="205"/>
    <x v="4"/>
    <x v="964"/>
    <n v="6"/>
    <x v="3"/>
    <x v="2"/>
    <x v="0"/>
    <x v="0"/>
    <x v="1"/>
  </r>
  <r>
    <n v="2368619"/>
    <x v="0"/>
    <x v="4"/>
    <n v="23"/>
    <x v="8"/>
    <d v="2016-01-15T15:44:00"/>
    <x v="459"/>
    <x v="11"/>
    <x v="965"/>
    <n v="15"/>
    <x v="2"/>
    <x v="0"/>
    <x v="0"/>
    <x v="3"/>
    <x v="2"/>
  </r>
  <r>
    <n v="809087"/>
    <x v="0"/>
    <x v="3"/>
    <n v="9"/>
    <x v="3"/>
    <d v="2016-01-13T17:50:00"/>
    <x v="162"/>
    <x v="4"/>
    <x v="966"/>
    <n v="17"/>
    <x v="1"/>
    <x v="0"/>
    <x v="0"/>
    <x v="1"/>
    <x v="0"/>
  </r>
  <r>
    <n v="809087"/>
    <x v="0"/>
    <x v="3"/>
    <n v="9"/>
    <x v="3"/>
    <d v="2016-01-16T14:38:00"/>
    <x v="16"/>
    <x v="6"/>
    <x v="967"/>
    <n v="14"/>
    <x v="6"/>
    <x v="0"/>
    <x v="1"/>
    <x v="1"/>
    <x v="2"/>
  </r>
  <r>
    <n v="809087"/>
    <x v="0"/>
    <x v="3"/>
    <n v="9"/>
    <x v="3"/>
    <d v="2016-01-14T17:06:00"/>
    <x v="460"/>
    <x v="7"/>
    <x v="968"/>
    <n v="17"/>
    <x v="5"/>
    <x v="0"/>
    <x v="0"/>
    <x v="1"/>
    <x v="0"/>
  </r>
  <r>
    <n v="809087"/>
    <x v="0"/>
    <x v="3"/>
    <n v="9"/>
    <x v="3"/>
    <d v="2016-01-12T13:07:00"/>
    <x v="239"/>
    <x v="7"/>
    <x v="969"/>
    <n v="13"/>
    <x v="3"/>
    <x v="0"/>
    <x v="0"/>
    <x v="1"/>
    <x v="2"/>
  </r>
  <r>
    <n v="771945"/>
    <x v="0"/>
    <x v="4"/>
    <n v="32"/>
    <x v="4"/>
    <d v="2016-02-07T19:02:00"/>
    <x v="305"/>
    <x v="0"/>
    <x v="970"/>
    <n v="19"/>
    <x v="4"/>
    <x v="2"/>
    <x v="1"/>
    <x v="0"/>
    <x v="0"/>
  </r>
  <r>
    <n v="771945"/>
    <x v="0"/>
    <x v="4"/>
    <n v="32"/>
    <x v="4"/>
    <d v="2016-01-28T19:40:00"/>
    <x v="48"/>
    <x v="2"/>
    <x v="971"/>
    <n v="19"/>
    <x v="5"/>
    <x v="0"/>
    <x v="0"/>
    <x v="0"/>
    <x v="0"/>
  </r>
  <r>
    <n v="771945"/>
    <x v="0"/>
    <x v="4"/>
    <n v="32"/>
    <x v="4"/>
    <d v="2016-01-27T09:27:00"/>
    <x v="204"/>
    <x v="11"/>
    <x v="972"/>
    <n v="9"/>
    <x v="1"/>
    <x v="0"/>
    <x v="0"/>
    <x v="0"/>
    <x v="1"/>
  </r>
  <r>
    <n v="771945"/>
    <x v="0"/>
    <x v="4"/>
    <n v="32"/>
    <x v="4"/>
    <d v="2016-01-27T08:14:00"/>
    <x v="174"/>
    <x v="14"/>
    <x v="973"/>
    <n v="8"/>
    <x v="1"/>
    <x v="0"/>
    <x v="0"/>
    <x v="0"/>
    <x v="1"/>
  </r>
  <r>
    <n v="771945"/>
    <x v="0"/>
    <x v="4"/>
    <n v="32"/>
    <x v="4"/>
    <d v="2016-03-28T13:46:00"/>
    <x v="461"/>
    <x v="7"/>
    <x v="182"/>
    <n v="13"/>
    <x v="0"/>
    <x v="1"/>
    <x v="0"/>
    <x v="0"/>
    <x v="2"/>
  </r>
  <r>
    <n v="820518"/>
    <x v="0"/>
    <x v="4"/>
    <n v="30"/>
    <x v="2"/>
    <d v="2016-01-07T17:11:00"/>
    <x v="109"/>
    <x v="12"/>
    <x v="974"/>
    <n v="17"/>
    <x v="5"/>
    <x v="0"/>
    <x v="0"/>
    <x v="0"/>
    <x v="0"/>
  </r>
  <r>
    <n v="788792"/>
    <x v="2"/>
    <x v="4"/>
    <n v="36"/>
    <x v="2"/>
    <d v="2016-01-29T05:10:00"/>
    <x v="21"/>
    <x v="11"/>
    <x v="975"/>
    <n v="5"/>
    <x v="2"/>
    <x v="0"/>
    <x v="0"/>
    <x v="0"/>
    <x v="1"/>
  </r>
  <r>
    <n v="788792"/>
    <x v="2"/>
    <x v="4"/>
    <n v="36"/>
    <x v="2"/>
    <d v="2016-01-16T11:27:00"/>
    <x v="88"/>
    <x v="11"/>
    <x v="976"/>
    <n v="11"/>
    <x v="6"/>
    <x v="0"/>
    <x v="1"/>
    <x v="0"/>
    <x v="2"/>
  </r>
  <r>
    <n v="788792"/>
    <x v="2"/>
    <x v="4"/>
    <n v="36"/>
    <x v="2"/>
    <d v="2016-03-31T19:10:00"/>
    <x v="462"/>
    <x v="5"/>
    <x v="977"/>
    <n v="19"/>
    <x v="5"/>
    <x v="1"/>
    <x v="0"/>
    <x v="0"/>
    <x v="0"/>
  </r>
  <r>
    <n v="788792"/>
    <x v="2"/>
    <x v="4"/>
    <n v="36"/>
    <x v="2"/>
    <d v="2016-02-28T12:22:00"/>
    <x v="44"/>
    <x v="11"/>
    <x v="978"/>
    <n v="12"/>
    <x v="4"/>
    <x v="2"/>
    <x v="1"/>
    <x v="0"/>
    <x v="2"/>
  </r>
  <r>
    <n v="939765"/>
    <x v="0"/>
    <x v="4"/>
    <n v="39"/>
    <x v="2"/>
    <d v="2016-03-24T07:04:00"/>
    <x v="108"/>
    <x v="11"/>
    <x v="979"/>
    <n v="7"/>
    <x v="5"/>
    <x v="1"/>
    <x v="0"/>
    <x v="4"/>
    <x v="1"/>
  </r>
  <r>
    <n v="939766"/>
    <x v="0"/>
    <x v="4"/>
    <n v="22"/>
    <x v="2"/>
    <d v="2016-03-21T22:48:00"/>
    <x v="463"/>
    <x v="0"/>
    <x v="980"/>
    <n v="22"/>
    <x v="0"/>
    <x v="1"/>
    <x v="0"/>
    <x v="3"/>
    <x v="4"/>
  </r>
  <r>
    <n v="939766"/>
    <x v="0"/>
    <x v="4"/>
    <n v="22"/>
    <x v="2"/>
    <d v="2016-03-20T14:01:00"/>
    <x v="464"/>
    <x v="4"/>
    <x v="981"/>
    <n v="14"/>
    <x v="4"/>
    <x v="1"/>
    <x v="1"/>
    <x v="3"/>
    <x v="2"/>
  </r>
  <r>
    <n v="789360"/>
    <x v="0"/>
    <x v="4"/>
    <n v="24"/>
    <x v="5"/>
    <d v="2016-02-13T10:28:00"/>
    <x v="465"/>
    <x v="3"/>
    <x v="982"/>
    <n v="10"/>
    <x v="6"/>
    <x v="2"/>
    <x v="1"/>
    <x v="3"/>
    <x v="1"/>
  </r>
  <r>
    <n v="866310"/>
    <x v="0"/>
    <x v="4"/>
    <n v="35"/>
    <x v="2"/>
    <d v="2016-03-13T16:44:00"/>
    <x v="417"/>
    <x v="6"/>
    <x v="983"/>
    <n v="16"/>
    <x v="4"/>
    <x v="1"/>
    <x v="1"/>
    <x v="0"/>
    <x v="2"/>
  </r>
  <r>
    <n v="866310"/>
    <x v="0"/>
    <x v="4"/>
    <n v="35"/>
    <x v="2"/>
    <d v="2016-03-18T19:32:00"/>
    <x v="62"/>
    <x v="6"/>
    <x v="984"/>
    <n v="19"/>
    <x v="2"/>
    <x v="1"/>
    <x v="0"/>
    <x v="0"/>
    <x v="0"/>
  </r>
  <r>
    <n v="788794"/>
    <x v="0"/>
    <x v="4"/>
    <n v="24"/>
    <x v="6"/>
    <d v="2016-02-11T18:38:00"/>
    <x v="466"/>
    <x v="5"/>
    <x v="985"/>
    <n v="18"/>
    <x v="5"/>
    <x v="2"/>
    <x v="0"/>
    <x v="3"/>
    <x v="0"/>
  </r>
  <r>
    <n v="788794"/>
    <x v="0"/>
    <x v="4"/>
    <n v="24"/>
    <x v="6"/>
    <d v="2016-02-10T10:41:00"/>
    <x v="467"/>
    <x v="4"/>
    <x v="986"/>
    <n v="10"/>
    <x v="1"/>
    <x v="2"/>
    <x v="0"/>
    <x v="3"/>
    <x v="1"/>
  </r>
  <r>
    <n v="788794"/>
    <x v="0"/>
    <x v="4"/>
    <n v="24"/>
    <x v="6"/>
    <d v="2016-02-06T20:53:00"/>
    <x v="468"/>
    <x v="6"/>
    <x v="987"/>
    <n v="20"/>
    <x v="6"/>
    <x v="2"/>
    <x v="1"/>
    <x v="3"/>
    <x v="0"/>
  </r>
  <r>
    <n v="788794"/>
    <x v="0"/>
    <x v="4"/>
    <n v="24"/>
    <x v="6"/>
    <d v="2016-02-13T21:02:00"/>
    <x v="8"/>
    <x v="6"/>
    <x v="988"/>
    <n v="21"/>
    <x v="6"/>
    <x v="2"/>
    <x v="1"/>
    <x v="3"/>
    <x v="0"/>
  </r>
  <r>
    <n v="997491"/>
    <x v="0"/>
    <x v="4"/>
    <n v="29"/>
    <x v="0"/>
    <d v="2016-03-06T20:03:00"/>
    <x v="11"/>
    <x v="1"/>
    <x v="989"/>
    <n v="20"/>
    <x v="4"/>
    <x v="1"/>
    <x v="1"/>
    <x v="0"/>
    <x v="0"/>
  </r>
  <r>
    <n v="997491"/>
    <x v="0"/>
    <x v="4"/>
    <n v="29"/>
    <x v="0"/>
    <d v="2016-03-07T20:10:00"/>
    <x v="11"/>
    <x v="6"/>
    <x v="990"/>
    <n v="20"/>
    <x v="0"/>
    <x v="1"/>
    <x v="0"/>
    <x v="0"/>
    <x v="0"/>
  </r>
  <r>
    <n v="809091"/>
    <x v="0"/>
    <x v="4"/>
    <n v="51"/>
    <x v="2"/>
    <d v="2016-02-11T20:56:00"/>
    <x v="132"/>
    <x v="0"/>
    <x v="991"/>
    <n v="20"/>
    <x v="5"/>
    <x v="2"/>
    <x v="0"/>
    <x v="2"/>
    <x v="0"/>
  </r>
  <r>
    <m/>
    <x v="3"/>
    <x v="7"/>
    <m/>
    <x v="10"/>
    <m/>
    <x v="469"/>
    <x v="17"/>
    <x v="992"/>
    <m/>
    <x v="7"/>
    <x v="3"/>
    <x v="2"/>
    <x v="6"/>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64B08-A223-46EA-9356-A387FF06FDDF}" name="PivotTable3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E156:F160" firstHeaderRow="1" firstDataRow="1" firstDataCol="1"/>
  <pivotFields count="15">
    <pivotField dataField="1"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showAll="0">
      <items count="19">
        <item x="11"/>
        <item x="3"/>
        <item x="9"/>
        <item x="5"/>
        <item x="4"/>
        <item x="12"/>
        <item x="15"/>
        <item x="8"/>
        <item x="1"/>
        <item x="10"/>
        <item x="16"/>
        <item x="14"/>
        <item x="2"/>
        <item x="7"/>
        <item x="6"/>
        <item x="0"/>
        <item x="13"/>
        <item h="1" x="17"/>
        <item t="default"/>
      </items>
    </pivotField>
    <pivotField showAll="0">
      <items count="994">
        <item x="165"/>
        <item x="276"/>
        <item x="813"/>
        <item x="218"/>
        <item x="219"/>
        <item x="163"/>
        <item x="627"/>
        <item x="168"/>
        <item x="271"/>
        <item x="220"/>
        <item x="376"/>
        <item x="807"/>
        <item x="675"/>
        <item x="157"/>
        <item x="161"/>
        <item x="272"/>
        <item x="812"/>
        <item x="268"/>
        <item x="277"/>
        <item x="488"/>
        <item x="776"/>
        <item x="274"/>
        <item x="275"/>
        <item x="148"/>
        <item x="273"/>
        <item x="0"/>
        <item x="489"/>
        <item x="577"/>
        <item x="657"/>
        <item x="109"/>
        <item x="651"/>
        <item x="653"/>
        <item x="674"/>
        <item x="682"/>
        <item x="810"/>
        <item x="283"/>
        <item x="878"/>
        <item x="974"/>
        <item x="767"/>
        <item x="867"/>
        <item x="647"/>
        <item x="535"/>
        <item x="658"/>
        <item x="921"/>
        <item x="768"/>
        <item x="777"/>
        <item x="652"/>
        <item x="654"/>
        <item x="837"/>
        <item x="164"/>
        <item x="190"/>
        <item x="655"/>
        <item x="258"/>
        <item x="259"/>
        <item x="680"/>
        <item x="9"/>
        <item x="835"/>
        <item x="14"/>
        <item x="505"/>
        <item x="628"/>
        <item x="110"/>
        <item x="99"/>
        <item x="656"/>
        <item x="947"/>
        <item x="578"/>
        <item x="690"/>
        <item x="949"/>
        <item x="879"/>
        <item x="952"/>
        <item x="763"/>
        <item x="959"/>
        <item x="827"/>
        <item x="211"/>
        <item x="210"/>
        <item x="59"/>
        <item x="335"/>
        <item x="142"/>
        <item x="809"/>
        <item x="969"/>
        <item x="266"/>
        <item x="333"/>
        <item x="833"/>
        <item x="834"/>
        <item x="873"/>
        <item x="169"/>
        <item x="334"/>
        <item x="966"/>
        <item x="778"/>
        <item x="579"/>
        <item x="629"/>
        <item x="968"/>
        <item x="666"/>
        <item x="635"/>
        <item x="965"/>
        <item x="226"/>
        <item x="668"/>
        <item x="636"/>
        <item x="55"/>
        <item x="976"/>
        <item x="967"/>
        <item x="639"/>
        <item x="670"/>
        <item x="424"/>
        <item x="389"/>
        <item x="836"/>
        <item x="445"/>
        <item x="632"/>
        <item x="537"/>
        <item x="667"/>
        <item x="378"/>
        <item x="97"/>
        <item x="522"/>
        <item x="624"/>
        <item x="145"/>
        <item x="634"/>
        <item x="448"/>
        <item x="101"/>
        <item x="451"/>
        <item x="452"/>
        <item x="869"/>
        <item x="318"/>
        <item x="100"/>
        <item x="321"/>
        <item x="96"/>
        <item x="638"/>
        <item x="526"/>
        <item x="868"/>
        <item x="523"/>
        <item x="692"/>
        <item x="958"/>
        <item x="413"/>
        <item x="371"/>
        <item x="588"/>
        <item x="642"/>
        <item x="269"/>
        <item x="536"/>
        <item x="637"/>
        <item x="377"/>
        <item x="453"/>
        <item x="446"/>
        <item x="379"/>
        <item x="236"/>
        <item x="420"/>
        <item x="580"/>
        <item x="551"/>
        <item x="679"/>
        <item x="678"/>
        <item x="742"/>
        <item x="295"/>
        <item x="60"/>
        <item x="533"/>
        <item x="294"/>
        <item x="534"/>
        <item x="349"/>
        <item x="33"/>
        <item x="525"/>
        <item x="951"/>
        <item x="766"/>
        <item x="196"/>
        <item x="342"/>
        <item x="398"/>
        <item x="350"/>
        <item x="501"/>
        <item x="685"/>
        <item x="865"/>
        <item x="473"/>
        <item x="973"/>
        <item x="972"/>
        <item x="348"/>
        <item x="53"/>
        <item x="347"/>
        <item x="864"/>
        <item x="696"/>
        <item x="587"/>
        <item x="324"/>
        <item x="808"/>
        <item x="267"/>
        <item x="862"/>
        <item x="561"/>
        <item x="282"/>
        <item x="971"/>
        <item x="423"/>
        <item x="975"/>
        <item x="677"/>
        <item x="495"/>
        <item x="590"/>
        <item x="861"/>
        <item x="633"/>
        <item x="499"/>
        <item x="648"/>
        <item x="560"/>
        <item x="676"/>
        <item x="422"/>
        <item x="162"/>
        <item x="866"/>
        <item x="559"/>
        <item x="960"/>
        <item x="447"/>
        <item x="950"/>
        <item x="49"/>
        <item x="860"/>
        <item x="550"/>
        <item x="589"/>
        <item x="493"/>
        <item x="496"/>
        <item x="485"/>
        <item x="771"/>
        <item x="444"/>
        <item x="486"/>
        <item x="500"/>
        <item x="948"/>
        <item x="143"/>
        <item x="474"/>
        <item x="863"/>
        <item x="48"/>
        <item x="107"/>
        <item x="709"/>
        <item x="725"/>
        <item x="724"/>
        <item x="300"/>
        <item x="964"/>
        <item x="671"/>
        <item x="45"/>
        <item x="672"/>
        <item x="770"/>
        <item x="4"/>
        <item x="723"/>
        <item x="804"/>
        <item x="838"/>
        <item x="956"/>
        <item x="684"/>
        <item x="7"/>
        <item x="753"/>
        <item x="754"/>
        <item x="270"/>
        <item x="144"/>
        <item x="772"/>
        <item x="934"/>
        <item x="106"/>
        <item x="32"/>
        <item x="765"/>
        <item x="673"/>
        <item x="440"/>
        <item x="557"/>
        <item x="262"/>
        <item x="15"/>
        <item x="797"/>
        <item x="134"/>
        <item x="694"/>
        <item x="497"/>
        <item x="314"/>
        <item x="125"/>
        <item x="408"/>
        <item x="126"/>
        <item x="250"/>
        <item x="562"/>
        <item x="718"/>
        <item x="498"/>
        <item x="385"/>
        <item x="388"/>
        <item x="136"/>
        <item x="137"/>
        <item x="823"/>
        <item x="546"/>
        <item x="222"/>
        <item x="127"/>
        <item x="695"/>
        <item x="987"/>
        <item x="340"/>
        <item x="484"/>
        <item x="494"/>
        <item x="970"/>
        <item x="341"/>
        <item x="92"/>
        <item x="729"/>
        <item x="842"/>
        <item x="839"/>
        <item x="330"/>
        <item x="691"/>
        <item x="316"/>
        <item x="686"/>
        <item x="583"/>
        <item x="986"/>
        <item x="208"/>
        <item x="203"/>
        <item x="375"/>
        <item x="197"/>
        <item x="374"/>
        <item x="985"/>
        <item x="329"/>
        <item x="317"/>
        <item x="95"/>
        <item x="991"/>
        <item x="112"/>
        <item x="887"/>
        <item x="573"/>
        <item x="166"/>
        <item x="129"/>
        <item x="817"/>
        <item x="576"/>
        <item x="811"/>
        <item x="822"/>
        <item x="450"/>
        <item x="206"/>
        <item x="511"/>
        <item x="788"/>
        <item x="982"/>
        <item x="462"/>
        <item x="463"/>
        <item x="392"/>
        <item x="56"/>
        <item x="235"/>
        <item x="988"/>
        <item x="614"/>
        <item x="769"/>
        <item x="233"/>
        <item x="832"/>
        <item x="529"/>
        <item x="802"/>
        <item x="418"/>
        <item x="207"/>
        <item x="722"/>
        <item x="264"/>
        <item x="829"/>
        <item x="830"/>
        <item x="13"/>
        <item x="799"/>
        <item x="571"/>
        <item x="231"/>
        <item x="311"/>
        <item x="390"/>
        <item x="502"/>
        <item x="531"/>
        <item x="570"/>
        <item x="503"/>
        <item x="530"/>
        <item x="303"/>
        <item x="38"/>
        <item x="575"/>
        <item x="527"/>
        <item x="198"/>
        <item x="242"/>
        <item x="897"/>
        <item x="239"/>
        <item x="898"/>
        <item x="313"/>
        <item x="243"/>
        <item x="310"/>
        <item x="615"/>
        <item x="147"/>
        <item x="47"/>
        <item x="238"/>
        <item x="237"/>
        <item x="199"/>
        <item x="244"/>
        <item x="339"/>
        <item x="926"/>
        <item x="111"/>
        <item x="730"/>
        <item x="816"/>
        <item x="397"/>
        <item x="711"/>
        <item x="556"/>
        <item x="892"/>
        <item x="893"/>
        <item x="487"/>
        <item x="43"/>
        <item x="831"/>
        <item x="549"/>
        <item x="851"/>
        <item x="469"/>
        <item x="18"/>
        <item x="751"/>
        <item x="541"/>
        <item x="396"/>
        <item x="889"/>
        <item x="697"/>
        <item x="698"/>
        <item x="699"/>
        <item x="470"/>
        <item x="764"/>
        <item x="572"/>
        <item x="19"/>
        <item x="383"/>
        <item x="384"/>
        <item x="584"/>
        <item x="888"/>
        <item x="301"/>
        <item x="555"/>
        <item x="538"/>
        <item x="16"/>
        <item x="230"/>
        <item x="890"/>
        <item x="891"/>
        <item x="954"/>
        <item x="800"/>
        <item x="801"/>
        <item x="848"/>
        <item x="847"/>
        <item x="661"/>
        <item x="662"/>
        <item x="285"/>
        <item x="409"/>
        <item x="240"/>
        <item x="539"/>
        <item x="925"/>
        <item x="410"/>
        <item x="98"/>
        <item x="286"/>
        <item x="411"/>
        <item x="412"/>
        <item x="44"/>
        <item x="660"/>
        <item x="663"/>
        <item x="953"/>
        <item x="455"/>
        <item x="906"/>
        <item x="17"/>
        <item x="288"/>
        <item x="803"/>
        <item x="886"/>
        <item x="284"/>
        <item x="907"/>
        <item x="908"/>
        <item x="37"/>
        <item x="417"/>
        <item x="540"/>
        <item x="712"/>
        <item x="927"/>
        <item x="885"/>
        <item x="78"/>
        <item x="302"/>
        <item x="646"/>
        <item x="905"/>
        <item x="386"/>
        <item x="936"/>
        <item x="327"/>
        <item x="205"/>
        <item x="626"/>
        <item x="84"/>
        <item x="719"/>
        <item x="720"/>
        <item x="563"/>
        <item x="849"/>
        <item x="82"/>
        <item x="558"/>
        <item x="416"/>
        <item x="200"/>
        <item x="265"/>
        <item x="290"/>
        <item x="81"/>
        <item x="312"/>
        <item x="353"/>
        <item x="752"/>
        <item x="151"/>
        <item x="289"/>
        <item x="354"/>
        <item x="472"/>
        <item x="46"/>
        <item x="805"/>
        <item x="543"/>
        <item x="75"/>
        <item x="542"/>
        <item x="616"/>
        <item x="791"/>
        <item x="935"/>
        <item x="855"/>
        <item x="30"/>
        <item x="581"/>
        <item x="29"/>
        <item x="152"/>
        <item x="479"/>
        <item x="909"/>
        <item x="798"/>
        <item x="393"/>
        <item x="456"/>
        <item x="263"/>
        <item x="457"/>
        <item x="394"/>
        <item x="89"/>
        <item x="850"/>
        <item x="910"/>
        <item x="366"/>
        <item x="367"/>
        <item x="900"/>
        <item x="961"/>
        <item x="355"/>
        <item x="594"/>
        <item x="223"/>
        <item x="585"/>
        <item x="544"/>
        <item x="214"/>
        <item x="215"/>
        <item x="216"/>
        <item x="395"/>
        <item x="83"/>
        <item x="775"/>
        <item x="21"/>
        <item x="939"/>
        <item x="683"/>
        <item x="731"/>
        <item x="108"/>
        <item x="824"/>
        <item x="12"/>
        <item x="625"/>
        <item x="460"/>
        <item x="595"/>
        <item x="978"/>
        <item x="825"/>
        <item x="518"/>
        <item x="54"/>
        <item x="22"/>
        <item x="167"/>
        <item x="20"/>
        <item x="877"/>
        <item x="641"/>
        <item x="369"/>
        <item x="225"/>
        <item x="913"/>
        <item x="820"/>
        <item x="57"/>
        <item x="650"/>
        <item x="192"/>
        <item x="191"/>
        <item x="373"/>
        <item x="461"/>
        <item x="291"/>
        <item x="520"/>
        <item x="189"/>
        <item x="963"/>
        <item x="441"/>
        <item x="58"/>
        <item x="27"/>
        <item x="287"/>
        <item x="79"/>
        <item x="232"/>
        <item x="73"/>
        <item x="911"/>
        <item x="701"/>
        <item x="50"/>
        <item x="937"/>
        <item x="356"/>
        <item x="193"/>
        <item x="194"/>
        <item x="737"/>
        <item x="246"/>
        <item x="649"/>
        <item x="944"/>
        <item x="945"/>
        <item x="640"/>
        <item x="217"/>
        <item x="331"/>
        <item x="918"/>
        <item x="255"/>
        <item x="749"/>
        <item x="919"/>
        <item x="745"/>
        <item x="467"/>
        <item x="241"/>
        <item x="707"/>
        <item x="515"/>
        <item x="514"/>
        <item x="916"/>
        <item x="938"/>
        <item x="605"/>
        <item x="606"/>
        <item x="490"/>
        <item x="31"/>
        <item x="607"/>
        <item x="932"/>
        <item x="920"/>
        <item x="716"/>
        <item x="717"/>
        <item x="681"/>
        <item x="618"/>
        <item x="734"/>
        <item x="896"/>
        <item x="608"/>
        <item x="421"/>
        <item x="814"/>
        <item x="922"/>
        <item x="884"/>
        <item x="856"/>
        <item x="601"/>
        <item x="516"/>
        <item x="414"/>
        <item x="733"/>
        <item x="158"/>
        <item x="815"/>
        <item x="517"/>
        <item x="593"/>
        <item x="212"/>
        <item x="114"/>
        <item x="292"/>
        <item x="852"/>
        <item x="468"/>
        <item x="609"/>
        <item x="102"/>
        <item x="368"/>
        <item x="88"/>
        <item x="103"/>
        <item x="104"/>
        <item x="160"/>
        <item x="315"/>
        <item x="115"/>
        <item x="159"/>
        <item x="172"/>
        <item x="702"/>
        <item x="727"/>
        <item x="128"/>
        <item x="713"/>
        <item x="130"/>
        <item x="131"/>
        <item x="245"/>
        <item x="617"/>
        <item x="28"/>
        <item x="899"/>
        <item x="774"/>
        <item x="598"/>
        <item x="989"/>
        <item x="599"/>
        <item x="600"/>
        <item x="693"/>
        <item x="251"/>
        <item x="224"/>
        <item x="425"/>
        <item x="150"/>
        <item x="506"/>
        <item x="34"/>
        <item x="741"/>
        <item x="990"/>
        <item x="933"/>
        <item x="480"/>
        <item x="806"/>
        <item x="67"/>
        <item x="726"/>
        <item x="299"/>
        <item x="51"/>
        <item x="332"/>
        <item x="894"/>
        <item x="476"/>
        <item x="52"/>
        <item x="256"/>
        <item x="336"/>
        <item x="171"/>
        <item x="41"/>
        <item x="364"/>
        <item x="116"/>
        <item x="477"/>
        <item x="234"/>
        <item x="25"/>
        <item x="519"/>
        <item x="71"/>
        <item x="755"/>
        <item x="604"/>
        <item x="943"/>
        <item x="881"/>
        <item x="928"/>
        <item x="117"/>
        <item x="492"/>
        <item x="93"/>
        <item x="337"/>
        <item x="338"/>
        <item x="94"/>
        <item x="391"/>
        <item x="36"/>
        <item x="915"/>
        <item x="957"/>
        <item x="507"/>
        <item x="687"/>
        <item x="80"/>
        <item x="513"/>
        <item x="124"/>
        <item x="387"/>
        <item x="779"/>
        <item x="365"/>
        <item x="508"/>
        <item x="40"/>
        <item x="613"/>
        <item x="69"/>
        <item x="70"/>
        <item x="901"/>
        <item x="119"/>
        <item x="120"/>
        <item x="880"/>
        <item x="91"/>
        <item x="436"/>
        <item x="439"/>
        <item x="902"/>
        <item x="509"/>
        <item x="510"/>
        <item x="491"/>
        <item x="857"/>
        <item x="228"/>
        <item x="442"/>
        <item x="547"/>
        <item x="280"/>
        <item x="319"/>
        <item x="279"/>
        <item x="784"/>
        <item x="955"/>
        <item x="773"/>
        <item x="320"/>
        <item x="983"/>
        <item x="643"/>
        <item x="61"/>
        <item x="929"/>
        <item x="443"/>
        <item x="149"/>
        <item x="170"/>
        <item x="437"/>
        <item x="62"/>
        <item x="87"/>
        <item x="644"/>
        <item x="118"/>
        <item x="620"/>
        <item x="545"/>
        <item x="582"/>
        <item x="438"/>
        <item x="90"/>
        <item x="840"/>
        <item x="917"/>
        <item x="372"/>
        <item x="621"/>
        <item x="602"/>
        <item x="962"/>
        <item x="942"/>
        <item x="796"/>
        <item x="257"/>
        <item x="121"/>
        <item x="122"/>
        <item x="795"/>
        <item x="401"/>
        <item x="415"/>
        <item x="478"/>
        <item x="308"/>
        <item x="700"/>
        <item x="940"/>
        <item x="941"/>
        <item x="345"/>
        <item x="736"/>
        <item x="187"/>
        <item x="792"/>
        <item x="178"/>
        <item x="352"/>
        <item x="895"/>
        <item x="201"/>
        <item x="202"/>
        <item x="399"/>
        <item x="63"/>
        <item x="5"/>
        <item x="984"/>
        <item x="179"/>
        <item x="177"/>
        <item x="173"/>
        <item x="68"/>
        <item x="64"/>
        <item x="739"/>
        <item x="785"/>
        <item x="645"/>
        <item x="400"/>
        <item x="923"/>
        <item x="738"/>
        <item x="459"/>
        <item x="930"/>
        <item x="659"/>
        <item x="912"/>
        <item x="710"/>
        <item x="793"/>
        <item x="843"/>
        <item x="426"/>
        <item x="427"/>
        <item x="323"/>
        <item x="924"/>
        <item x="6"/>
        <item x="304"/>
        <item x="305"/>
        <item x="180"/>
        <item x="715"/>
        <item x="735"/>
        <item x="429"/>
        <item x="325"/>
        <item x="981"/>
        <item x="174"/>
        <item x="326"/>
        <item x="611"/>
        <item x="175"/>
        <item x="882"/>
        <item x="204"/>
        <item x="524"/>
        <item x="794"/>
        <item x="780"/>
        <item x="430"/>
        <item x="213"/>
        <item x="140"/>
        <item x="475"/>
        <item x="405"/>
        <item x="435"/>
        <item x="248"/>
        <item x="406"/>
        <item x="708"/>
        <item x="903"/>
        <item x="154"/>
        <item x="186"/>
        <item x="407"/>
        <item x="946"/>
        <item x="980"/>
        <item x="471"/>
        <item x="592"/>
        <item x="521"/>
        <item x="176"/>
        <item x="113"/>
        <item x="883"/>
        <item x="714"/>
        <item x="351"/>
        <item x="322"/>
        <item x="278"/>
        <item x="221"/>
        <item x="870"/>
        <item x="209"/>
        <item x="622"/>
        <item x="195"/>
        <item x="357"/>
        <item x="419"/>
        <item x="328"/>
        <item x="703"/>
        <item x="565"/>
        <item x="434"/>
        <item x="979"/>
        <item x="512"/>
        <item x="569"/>
        <item x="10"/>
        <item x="74"/>
        <item x="665"/>
        <item x="135"/>
        <item x="123"/>
        <item x="146"/>
        <item x="504"/>
        <item x="853"/>
        <item x="756"/>
        <item x="458"/>
        <item x="564"/>
        <item x="610"/>
        <item x="858"/>
        <item x="554"/>
        <item x="253"/>
        <item x="184"/>
        <item x="183"/>
        <item x="688"/>
        <item x="464"/>
        <item x="787"/>
        <item x="748"/>
        <item x="721"/>
        <item x="344"/>
        <item x="3"/>
        <item x="761"/>
        <item x="786"/>
        <item x="664"/>
        <item x="586"/>
        <item x="358"/>
        <item x="789"/>
        <item x="841"/>
        <item x="790"/>
        <item x="728"/>
        <item x="382"/>
        <item x="689"/>
        <item x="141"/>
        <item x="404"/>
        <item x="465"/>
        <item x="72"/>
        <item x="254"/>
        <item x="153"/>
        <item x="11"/>
        <item x="732"/>
        <item x="139"/>
        <item x="597"/>
        <item x="156"/>
        <item x="359"/>
        <item x="876"/>
        <item x="155"/>
        <item x="819"/>
        <item x="261"/>
        <item x="247"/>
        <item x="402"/>
        <item x="623"/>
        <item x="133"/>
        <item x="669"/>
        <item x="567"/>
        <item x="132"/>
        <item x="138"/>
        <item x="874"/>
        <item x="875"/>
        <item x="568"/>
        <item x="403"/>
        <item x="482"/>
        <item x="296"/>
        <item x="260"/>
        <item x="596"/>
        <item x="904"/>
        <item x="432"/>
        <item x="566"/>
        <item x="532"/>
        <item x="297"/>
        <item x="380"/>
        <item x="181"/>
        <item x="182"/>
        <item x="744"/>
        <item x="552"/>
        <item x="528"/>
        <item x="431"/>
        <item x="553"/>
        <item x="252"/>
        <item x="844"/>
        <item x="26"/>
        <item x="846"/>
        <item x="630"/>
        <item x="185"/>
        <item x="746"/>
        <item x="631"/>
        <item x="762"/>
        <item x="747"/>
        <item x="603"/>
        <item x="483"/>
        <item x="821"/>
        <item x="35"/>
        <item x="548"/>
        <item x="466"/>
        <item x="854"/>
        <item x="76"/>
        <item x="759"/>
        <item x="363"/>
        <item x="783"/>
        <item x="227"/>
        <item x="750"/>
        <item x="481"/>
        <item x="758"/>
        <item x="249"/>
        <item x="188"/>
        <item x="612"/>
        <item x="1"/>
        <item x="931"/>
        <item x="619"/>
        <item x="105"/>
        <item x="433"/>
        <item x="77"/>
        <item x="229"/>
        <item x="706"/>
        <item x="760"/>
        <item x="705"/>
        <item x="85"/>
        <item x="454"/>
        <item x="298"/>
        <item x="360"/>
        <item x="66"/>
        <item x="914"/>
        <item x="845"/>
        <item x="574"/>
        <item x="757"/>
        <item x="362"/>
        <item x="826"/>
        <item x="2"/>
        <item x="346"/>
        <item x="381"/>
        <item x="24"/>
        <item x="343"/>
        <item x="743"/>
        <item x="828"/>
        <item x="859"/>
        <item x="23"/>
        <item x="704"/>
        <item x="361"/>
        <item x="871"/>
        <item x="8"/>
        <item x="65"/>
        <item x="42"/>
        <item x="370"/>
        <item x="818"/>
        <item x="782"/>
        <item x="281"/>
        <item x="428"/>
        <item x="449"/>
        <item x="977"/>
        <item x="781"/>
        <item x="872"/>
        <item x="293"/>
        <item x="309"/>
        <item x="591"/>
        <item x="306"/>
        <item x="86"/>
        <item x="307"/>
        <item x="740"/>
        <item x="39"/>
        <item x="992"/>
        <item t="default"/>
      </items>
    </pivotField>
    <pivotField showAll="0"/>
    <pivotField showAll="0">
      <items count="9">
        <item x="4"/>
        <item x="0"/>
        <item x="3"/>
        <item x="1"/>
        <item x="5"/>
        <item x="2"/>
        <item x="6"/>
        <item h="1" x="7"/>
        <item t="default"/>
      </items>
    </pivotField>
    <pivotField axis="axisRow" showAll="0">
      <items count="5">
        <item x="0"/>
        <item x="2"/>
        <item x="1"/>
        <item h="1" x="3"/>
        <item t="default"/>
      </items>
    </pivotField>
    <pivotField showAll="0"/>
    <pivotField showAll="0" sortType="descending">
      <items count="8">
        <item x="4"/>
        <item x="5"/>
        <item x="2"/>
        <item x="1"/>
        <item x="0"/>
        <item x="3"/>
        <item h="1" x="6"/>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s>
  <rowFields count="1">
    <field x="11"/>
  </rowFields>
  <rowItems count="4">
    <i>
      <x/>
    </i>
    <i>
      <x v="1"/>
    </i>
    <i>
      <x v="2"/>
    </i>
    <i t="grand">
      <x/>
    </i>
  </rowItems>
  <colItems count="1">
    <i/>
  </colItems>
  <dataFields count="1">
    <dataField name="Sum of UserID_Profile" fld="0" baseField="0" baseItem="0"/>
  </dataFields>
  <formats count="1">
    <format dxfId="6">
      <pivotArea outline="0" collapsedLevelsAreSubtotals="1" fieldPosition="0"/>
    </format>
  </formats>
  <chartFormats count="2">
    <chartFormat chart="35"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BBBEA3-EB48-4F5E-A808-D6F501F61D42}" name="PivotTable2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164:E183" firstHeaderRow="1" firstDataRow="2" firstDataCol="1"/>
  <pivotFields count="15">
    <pivotField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axis="axisRow" showAll="0" sortType="descending">
      <items count="19">
        <item x="11"/>
        <item x="3"/>
        <item x="9"/>
        <item x="5"/>
        <item x="4"/>
        <item x="12"/>
        <item x="15"/>
        <item x="8"/>
        <item x="1"/>
        <item x="10"/>
        <item x="16"/>
        <item x="14"/>
        <item x="2"/>
        <item x="7"/>
        <item x="6"/>
        <item x="0"/>
        <item x="13"/>
        <item h="1" x="17"/>
        <item t="default"/>
      </items>
      <autoSortScope>
        <pivotArea dataOnly="0" outline="0" fieldPosition="0">
          <references count="1">
            <reference field="4294967294" count="1" selected="0">
              <x v="0"/>
            </reference>
          </references>
        </pivotArea>
      </autoSortScope>
    </pivotField>
    <pivotField showAll="0">
      <items count="994">
        <item x="165"/>
        <item x="276"/>
        <item x="813"/>
        <item x="218"/>
        <item x="219"/>
        <item x="163"/>
        <item x="627"/>
        <item x="168"/>
        <item x="271"/>
        <item x="220"/>
        <item x="376"/>
        <item x="807"/>
        <item x="675"/>
        <item x="157"/>
        <item x="161"/>
        <item x="272"/>
        <item x="812"/>
        <item x="268"/>
        <item x="277"/>
        <item x="488"/>
        <item x="776"/>
        <item x="274"/>
        <item x="275"/>
        <item x="148"/>
        <item x="273"/>
        <item x="0"/>
        <item x="489"/>
        <item x="577"/>
        <item x="657"/>
        <item x="109"/>
        <item x="651"/>
        <item x="653"/>
        <item x="674"/>
        <item x="682"/>
        <item x="810"/>
        <item x="283"/>
        <item x="878"/>
        <item x="974"/>
        <item x="767"/>
        <item x="867"/>
        <item x="647"/>
        <item x="535"/>
        <item x="658"/>
        <item x="921"/>
        <item x="768"/>
        <item x="777"/>
        <item x="652"/>
        <item x="654"/>
        <item x="837"/>
        <item x="164"/>
        <item x="190"/>
        <item x="655"/>
        <item x="258"/>
        <item x="259"/>
        <item x="680"/>
        <item x="9"/>
        <item x="835"/>
        <item x="14"/>
        <item x="505"/>
        <item x="628"/>
        <item x="110"/>
        <item x="99"/>
        <item x="656"/>
        <item x="947"/>
        <item x="578"/>
        <item x="690"/>
        <item x="949"/>
        <item x="879"/>
        <item x="952"/>
        <item x="763"/>
        <item x="959"/>
        <item x="827"/>
        <item x="211"/>
        <item x="210"/>
        <item x="59"/>
        <item x="335"/>
        <item x="142"/>
        <item x="809"/>
        <item x="969"/>
        <item x="266"/>
        <item x="333"/>
        <item x="833"/>
        <item x="834"/>
        <item x="873"/>
        <item x="169"/>
        <item x="334"/>
        <item x="966"/>
        <item x="778"/>
        <item x="579"/>
        <item x="629"/>
        <item x="968"/>
        <item x="666"/>
        <item x="635"/>
        <item x="965"/>
        <item x="226"/>
        <item x="668"/>
        <item x="636"/>
        <item x="55"/>
        <item x="976"/>
        <item x="967"/>
        <item x="639"/>
        <item x="670"/>
        <item x="424"/>
        <item x="389"/>
        <item x="836"/>
        <item x="445"/>
        <item x="632"/>
        <item x="537"/>
        <item x="667"/>
        <item x="378"/>
        <item x="97"/>
        <item x="522"/>
        <item x="624"/>
        <item x="145"/>
        <item x="634"/>
        <item x="448"/>
        <item x="101"/>
        <item x="451"/>
        <item x="452"/>
        <item x="869"/>
        <item x="318"/>
        <item x="100"/>
        <item x="321"/>
        <item x="96"/>
        <item x="638"/>
        <item x="526"/>
        <item x="868"/>
        <item x="523"/>
        <item x="692"/>
        <item x="958"/>
        <item x="413"/>
        <item x="371"/>
        <item x="588"/>
        <item x="642"/>
        <item x="269"/>
        <item x="536"/>
        <item x="637"/>
        <item x="377"/>
        <item x="453"/>
        <item x="446"/>
        <item x="379"/>
        <item x="236"/>
        <item x="420"/>
        <item x="580"/>
        <item x="551"/>
        <item x="679"/>
        <item x="678"/>
        <item x="742"/>
        <item x="295"/>
        <item x="60"/>
        <item x="533"/>
        <item x="294"/>
        <item x="534"/>
        <item x="349"/>
        <item x="33"/>
        <item x="525"/>
        <item x="951"/>
        <item x="766"/>
        <item x="196"/>
        <item x="342"/>
        <item x="398"/>
        <item x="350"/>
        <item x="501"/>
        <item x="685"/>
        <item x="865"/>
        <item x="473"/>
        <item x="973"/>
        <item x="972"/>
        <item x="348"/>
        <item x="53"/>
        <item x="347"/>
        <item x="864"/>
        <item x="696"/>
        <item x="587"/>
        <item x="324"/>
        <item x="808"/>
        <item x="267"/>
        <item x="862"/>
        <item x="561"/>
        <item x="282"/>
        <item x="971"/>
        <item x="423"/>
        <item x="975"/>
        <item x="677"/>
        <item x="495"/>
        <item x="590"/>
        <item x="861"/>
        <item x="633"/>
        <item x="499"/>
        <item x="648"/>
        <item x="560"/>
        <item x="676"/>
        <item x="422"/>
        <item x="162"/>
        <item x="866"/>
        <item x="559"/>
        <item x="960"/>
        <item x="447"/>
        <item x="950"/>
        <item x="49"/>
        <item x="860"/>
        <item x="550"/>
        <item x="589"/>
        <item x="493"/>
        <item x="496"/>
        <item x="485"/>
        <item x="771"/>
        <item x="444"/>
        <item x="486"/>
        <item x="500"/>
        <item x="948"/>
        <item x="143"/>
        <item x="474"/>
        <item x="863"/>
        <item x="48"/>
        <item x="107"/>
        <item x="709"/>
        <item x="725"/>
        <item x="724"/>
        <item x="300"/>
        <item x="964"/>
        <item x="671"/>
        <item x="45"/>
        <item x="672"/>
        <item x="770"/>
        <item x="4"/>
        <item x="723"/>
        <item x="804"/>
        <item x="838"/>
        <item x="956"/>
        <item x="684"/>
        <item x="7"/>
        <item x="753"/>
        <item x="754"/>
        <item x="270"/>
        <item x="144"/>
        <item x="772"/>
        <item x="934"/>
        <item x="106"/>
        <item x="32"/>
        <item x="765"/>
        <item x="673"/>
        <item x="440"/>
        <item x="557"/>
        <item x="262"/>
        <item x="15"/>
        <item x="797"/>
        <item x="134"/>
        <item x="694"/>
        <item x="497"/>
        <item x="314"/>
        <item x="125"/>
        <item x="408"/>
        <item x="126"/>
        <item x="250"/>
        <item x="562"/>
        <item x="718"/>
        <item x="498"/>
        <item x="385"/>
        <item x="388"/>
        <item x="136"/>
        <item x="137"/>
        <item x="823"/>
        <item x="546"/>
        <item x="222"/>
        <item x="127"/>
        <item x="695"/>
        <item x="987"/>
        <item x="340"/>
        <item x="484"/>
        <item x="494"/>
        <item x="970"/>
        <item x="341"/>
        <item x="92"/>
        <item x="729"/>
        <item x="842"/>
        <item x="839"/>
        <item x="330"/>
        <item x="691"/>
        <item x="316"/>
        <item x="686"/>
        <item x="583"/>
        <item x="986"/>
        <item x="208"/>
        <item x="203"/>
        <item x="375"/>
        <item x="197"/>
        <item x="374"/>
        <item x="985"/>
        <item x="329"/>
        <item x="317"/>
        <item x="95"/>
        <item x="991"/>
        <item x="112"/>
        <item x="887"/>
        <item x="573"/>
        <item x="166"/>
        <item x="129"/>
        <item x="817"/>
        <item x="576"/>
        <item x="811"/>
        <item x="822"/>
        <item x="450"/>
        <item x="206"/>
        <item x="511"/>
        <item x="788"/>
        <item x="982"/>
        <item x="462"/>
        <item x="463"/>
        <item x="392"/>
        <item x="56"/>
        <item x="235"/>
        <item x="988"/>
        <item x="614"/>
        <item x="769"/>
        <item x="233"/>
        <item x="832"/>
        <item x="529"/>
        <item x="802"/>
        <item x="418"/>
        <item x="207"/>
        <item x="722"/>
        <item x="264"/>
        <item x="829"/>
        <item x="830"/>
        <item x="13"/>
        <item x="799"/>
        <item x="571"/>
        <item x="231"/>
        <item x="311"/>
        <item x="390"/>
        <item x="502"/>
        <item x="531"/>
        <item x="570"/>
        <item x="503"/>
        <item x="530"/>
        <item x="303"/>
        <item x="38"/>
        <item x="575"/>
        <item x="527"/>
        <item x="198"/>
        <item x="242"/>
        <item x="897"/>
        <item x="239"/>
        <item x="898"/>
        <item x="313"/>
        <item x="243"/>
        <item x="310"/>
        <item x="615"/>
        <item x="147"/>
        <item x="47"/>
        <item x="238"/>
        <item x="237"/>
        <item x="199"/>
        <item x="244"/>
        <item x="339"/>
        <item x="926"/>
        <item x="111"/>
        <item x="730"/>
        <item x="816"/>
        <item x="397"/>
        <item x="711"/>
        <item x="556"/>
        <item x="892"/>
        <item x="893"/>
        <item x="487"/>
        <item x="43"/>
        <item x="831"/>
        <item x="549"/>
        <item x="851"/>
        <item x="469"/>
        <item x="18"/>
        <item x="751"/>
        <item x="541"/>
        <item x="396"/>
        <item x="889"/>
        <item x="697"/>
        <item x="698"/>
        <item x="699"/>
        <item x="470"/>
        <item x="764"/>
        <item x="572"/>
        <item x="19"/>
        <item x="383"/>
        <item x="384"/>
        <item x="584"/>
        <item x="888"/>
        <item x="301"/>
        <item x="555"/>
        <item x="538"/>
        <item x="16"/>
        <item x="230"/>
        <item x="890"/>
        <item x="891"/>
        <item x="954"/>
        <item x="800"/>
        <item x="801"/>
        <item x="848"/>
        <item x="847"/>
        <item x="661"/>
        <item x="662"/>
        <item x="285"/>
        <item x="409"/>
        <item x="240"/>
        <item x="539"/>
        <item x="925"/>
        <item x="410"/>
        <item x="98"/>
        <item x="286"/>
        <item x="411"/>
        <item x="412"/>
        <item x="44"/>
        <item x="660"/>
        <item x="663"/>
        <item x="953"/>
        <item x="455"/>
        <item x="906"/>
        <item x="17"/>
        <item x="288"/>
        <item x="803"/>
        <item x="886"/>
        <item x="284"/>
        <item x="907"/>
        <item x="908"/>
        <item x="37"/>
        <item x="417"/>
        <item x="540"/>
        <item x="712"/>
        <item x="927"/>
        <item x="885"/>
        <item x="78"/>
        <item x="302"/>
        <item x="646"/>
        <item x="905"/>
        <item x="386"/>
        <item x="936"/>
        <item x="327"/>
        <item x="205"/>
        <item x="626"/>
        <item x="84"/>
        <item x="719"/>
        <item x="720"/>
        <item x="563"/>
        <item x="849"/>
        <item x="82"/>
        <item x="558"/>
        <item x="416"/>
        <item x="200"/>
        <item x="265"/>
        <item x="290"/>
        <item x="81"/>
        <item x="312"/>
        <item x="353"/>
        <item x="752"/>
        <item x="151"/>
        <item x="289"/>
        <item x="354"/>
        <item x="472"/>
        <item x="46"/>
        <item x="805"/>
        <item x="543"/>
        <item x="75"/>
        <item x="542"/>
        <item x="616"/>
        <item x="791"/>
        <item x="935"/>
        <item x="855"/>
        <item x="30"/>
        <item x="581"/>
        <item x="29"/>
        <item x="152"/>
        <item x="479"/>
        <item x="909"/>
        <item x="798"/>
        <item x="393"/>
        <item x="456"/>
        <item x="263"/>
        <item x="457"/>
        <item x="394"/>
        <item x="89"/>
        <item x="850"/>
        <item x="910"/>
        <item x="366"/>
        <item x="367"/>
        <item x="900"/>
        <item x="961"/>
        <item x="355"/>
        <item x="594"/>
        <item x="223"/>
        <item x="585"/>
        <item x="544"/>
        <item x="214"/>
        <item x="215"/>
        <item x="216"/>
        <item x="395"/>
        <item x="83"/>
        <item x="775"/>
        <item x="21"/>
        <item x="939"/>
        <item x="683"/>
        <item x="731"/>
        <item x="108"/>
        <item x="824"/>
        <item x="12"/>
        <item x="625"/>
        <item x="460"/>
        <item x="595"/>
        <item x="978"/>
        <item x="825"/>
        <item x="518"/>
        <item x="54"/>
        <item x="22"/>
        <item x="167"/>
        <item x="20"/>
        <item x="877"/>
        <item x="641"/>
        <item x="369"/>
        <item x="225"/>
        <item x="913"/>
        <item x="820"/>
        <item x="57"/>
        <item x="650"/>
        <item x="192"/>
        <item x="191"/>
        <item x="373"/>
        <item x="461"/>
        <item x="291"/>
        <item x="520"/>
        <item x="189"/>
        <item x="963"/>
        <item x="441"/>
        <item x="58"/>
        <item x="27"/>
        <item x="287"/>
        <item x="79"/>
        <item x="232"/>
        <item x="73"/>
        <item x="911"/>
        <item x="701"/>
        <item x="50"/>
        <item x="937"/>
        <item x="356"/>
        <item x="193"/>
        <item x="194"/>
        <item x="737"/>
        <item x="246"/>
        <item x="649"/>
        <item x="944"/>
        <item x="945"/>
        <item x="640"/>
        <item x="217"/>
        <item x="331"/>
        <item x="918"/>
        <item x="255"/>
        <item x="749"/>
        <item x="919"/>
        <item x="745"/>
        <item x="467"/>
        <item x="241"/>
        <item x="707"/>
        <item x="515"/>
        <item x="514"/>
        <item x="916"/>
        <item x="938"/>
        <item x="605"/>
        <item x="606"/>
        <item x="490"/>
        <item x="31"/>
        <item x="607"/>
        <item x="932"/>
        <item x="920"/>
        <item x="716"/>
        <item x="717"/>
        <item x="681"/>
        <item x="618"/>
        <item x="734"/>
        <item x="896"/>
        <item x="608"/>
        <item x="421"/>
        <item x="814"/>
        <item x="922"/>
        <item x="884"/>
        <item x="856"/>
        <item x="601"/>
        <item x="516"/>
        <item x="414"/>
        <item x="733"/>
        <item x="158"/>
        <item x="815"/>
        <item x="517"/>
        <item x="593"/>
        <item x="212"/>
        <item x="114"/>
        <item x="292"/>
        <item x="852"/>
        <item x="468"/>
        <item x="609"/>
        <item x="102"/>
        <item x="368"/>
        <item x="88"/>
        <item x="103"/>
        <item x="104"/>
        <item x="160"/>
        <item x="315"/>
        <item x="115"/>
        <item x="159"/>
        <item x="172"/>
        <item x="702"/>
        <item x="727"/>
        <item x="128"/>
        <item x="713"/>
        <item x="130"/>
        <item x="131"/>
        <item x="245"/>
        <item x="617"/>
        <item x="28"/>
        <item x="899"/>
        <item x="774"/>
        <item x="598"/>
        <item x="989"/>
        <item x="599"/>
        <item x="600"/>
        <item x="693"/>
        <item x="251"/>
        <item x="224"/>
        <item x="425"/>
        <item x="150"/>
        <item x="506"/>
        <item x="34"/>
        <item x="741"/>
        <item x="990"/>
        <item x="933"/>
        <item x="480"/>
        <item x="806"/>
        <item x="67"/>
        <item x="726"/>
        <item x="299"/>
        <item x="51"/>
        <item x="332"/>
        <item x="894"/>
        <item x="476"/>
        <item x="52"/>
        <item x="256"/>
        <item x="336"/>
        <item x="171"/>
        <item x="41"/>
        <item x="364"/>
        <item x="116"/>
        <item x="477"/>
        <item x="234"/>
        <item x="25"/>
        <item x="519"/>
        <item x="71"/>
        <item x="755"/>
        <item x="604"/>
        <item x="943"/>
        <item x="881"/>
        <item x="928"/>
        <item x="117"/>
        <item x="492"/>
        <item x="93"/>
        <item x="337"/>
        <item x="338"/>
        <item x="94"/>
        <item x="391"/>
        <item x="36"/>
        <item x="915"/>
        <item x="957"/>
        <item x="507"/>
        <item x="687"/>
        <item x="80"/>
        <item x="513"/>
        <item x="124"/>
        <item x="387"/>
        <item x="779"/>
        <item x="365"/>
        <item x="508"/>
        <item x="40"/>
        <item x="613"/>
        <item x="69"/>
        <item x="70"/>
        <item x="901"/>
        <item x="119"/>
        <item x="120"/>
        <item x="880"/>
        <item x="91"/>
        <item x="436"/>
        <item x="439"/>
        <item x="902"/>
        <item x="509"/>
        <item x="510"/>
        <item x="491"/>
        <item x="857"/>
        <item x="228"/>
        <item x="442"/>
        <item x="547"/>
        <item x="280"/>
        <item x="319"/>
        <item x="279"/>
        <item x="784"/>
        <item x="955"/>
        <item x="773"/>
        <item x="320"/>
        <item x="983"/>
        <item x="643"/>
        <item x="61"/>
        <item x="929"/>
        <item x="443"/>
        <item x="149"/>
        <item x="170"/>
        <item x="437"/>
        <item x="62"/>
        <item x="87"/>
        <item x="644"/>
        <item x="118"/>
        <item x="620"/>
        <item x="545"/>
        <item x="582"/>
        <item x="438"/>
        <item x="90"/>
        <item x="840"/>
        <item x="917"/>
        <item x="372"/>
        <item x="621"/>
        <item x="602"/>
        <item x="962"/>
        <item x="942"/>
        <item x="796"/>
        <item x="257"/>
        <item x="121"/>
        <item x="122"/>
        <item x="795"/>
        <item x="401"/>
        <item x="415"/>
        <item x="478"/>
        <item x="308"/>
        <item x="700"/>
        <item x="940"/>
        <item x="941"/>
        <item x="345"/>
        <item x="736"/>
        <item x="187"/>
        <item x="792"/>
        <item x="178"/>
        <item x="352"/>
        <item x="895"/>
        <item x="201"/>
        <item x="202"/>
        <item x="399"/>
        <item x="63"/>
        <item x="5"/>
        <item x="984"/>
        <item x="179"/>
        <item x="177"/>
        <item x="173"/>
        <item x="68"/>
        <item x="64"/>
        <item x="739"/>
        <item x="785"/>
        <item x="645"/>
        <item x="400"/>
        <item x="923"/>
        <item x="738"/>
        <item x="459"/>
        <item x="930"/>
        <item x="659"/>
        <item x="912"/>
        <item x="710"/>
        <item x="793"/>
        <item x="843"/>
        <item x="426"/>
        <item x="427"/>
        <item x="323"/>
        <item x="924"/>
        <item x="6"/>
        <item x="304"/>
        <item x="305"/>
        <item x="180"/>
        <item x="715"/>
        <item x="735"/>
        <item x="429"/>
        <item x="325"/>
        <item x="981"/>
        <item x="174"/>
        <item x="326"/>
        <item x="611"/>
        <item x="175"/>
        <item x="882"/>
        <item x="204"/>
        <item x="524"/>
        <item x="794"/>
        <item x="780"/>
        <item x="430"/>
        <item x="213"/>
        <item x="140"/>
        <item x="475"/>
        <item x="405"/>
        <item x="435"/>
        <item x="248"/>
        <item x="406"/>
        <item x="708"/>
        <item x="903"/>
        <item x="154"/>
        <item x="186"/>
        <item x="407"/>
        <item x="946"/>
        <item x="980"/>
        <item x="471"/>
        <item x="592"/>
        <item x="521"/>
        <item x="176"/>
        <item x="113"/>
        <item x="883"/>
        <item x="714"/>
        <item x="351"/>
        <item x="322"/>
        <item x="278"/>
        <item x="221"/>
        <item x="870"/>
        <item x="209"/>
        <item x="622"/>
        <item x="195"/>
        <item x="357"/>
        <item x="419"/>
        <item x="328"/>
        <item x="703"/>
        <item x="565"/>
        <item x="434"/>
        <item x="979"/>
        <item x="512"/>
        <item x="569"/>
        <item x="10"/>
        <item x="74"/>
        <item x="665"/>
        <item x="135"/>
        <item x="123"/>
        <item x="146"/>
        <item x="504"/>
        <item x="853"/>
        <item x="756"/>
        <item x="458"/>
        <item x="564"/>
        <item x="610"/>
        <item x="858"/>
        <item x="554"/>
        <item x="253"/>
        <item x="184"/>
        <item x="183"/>
        <item x="688"/>
        <item x="464"/>
        <item x="787"/>
        <item x="748"/>
        <item x="721"/>
        <item x="344"/>
        <item x="3"/>
        <item x="761"/>
        <item x="786"/>
        <item x="664"/>
        <item x="586"/>
        <item x="358"/>
        <item x="789"/>
        <item x="841"/>
        <item x="790"/>
        <item x="728"/>
        <item x="382"/>
        <item x="689"/>
        <item x="141"/>
        <item x="404"/>
        <item x="465"/>
        <item x="72"/>
        <item x="254"/>
        <item x="153"/>
        <item x="11"/>
        <item x="732"/>
        <item x="139"/>
        <item x="597"/>
        <item x="156"/>
        <item x="359"/>
        <item x="876"/>
        <item x="155"/>
        <item x="819"/>
        <item x="261"/>
        <item x="247"/>
        <item x="402"/>
        <item x="623"/>
        <item x="133"/>
        <item x="669"/>
        <item x="567"/>
        <item x="132"/>
        <item x="138"/>
        <item x="874"/>
        <item x="875"/>
        <item x="568"/>
        <item x="403"/>
        <item x="482"/>
        <item x="296"/>
        <item x="260"/>
        <item x="596"/>
        <item x="904"/>
        <item x="432"/>
        <item x="566"/>
        <item x="532"/>
        <item x="297"/>
        <item x="380"/>
        <item x="181"/>
        <item x="182"/>
        <item x="744"/>
        <item x="552"/>
        <item x="528"/>
        <item x="431"/>
        <item x="553"/>
        <item x="252"/>
        <item x="844"/>
        <item x="26"/>
        <item x="846"/>
        <item x="630"/>
        <item x="185"/>
        <item x="746"/>
        <item x="631"/>
        <item x="762"/>
        <item x="747"/>
        <item x="603"/>
        <item x="483"/>
        <item x="821"/>
        <item x="35"/>
        <item x="548"/>
        <item x="466"/>
        <item x="854"/>
        <item x="76"/>
        <item x="759"/>
        <item x="363"/>
        <item x="783"/>
        <item x="227"/>
        <item x="750"/>
        <item x="481"/>
        <item x="758"/>
        <item x="249"/>
        <item x="188"/>
        <item x="612"/>
        <item x="1"/>
        <item x="931"/>
        <item x="619"/>
        <item x="105"/>
        <item x="433"/>
        <item x="77"/>
        <item x="229"/>
        <item x="706"/>
        <item x="760"/>
        <item x="705"/>
        <item x="85"/>
        <item x="454"/>
        <item x="298"/>
        <item x="360"/>
        <item x="66"/>
        <item x="914"/>
        <item x="845"/>
        <item x="574"/>
        <item x="757"/>
        <item x="362"/>
        <item x="826"/>
        <item x="2"/>
        <item x="346"/>
        <item x="381"/>
        <item x="24"/>
        <item x="343"/>
        <item x="743"/>
        <item x="828"/>
        <item x="859"/>
        <item x="23"/>
        <item x="704"/>
        <item x="361"/>
        <item x="871"/>
        <item x="8"/>
        <item x="65"/>
        <item x="42"/>
        <item x="370"/>
        <item x="818"/>
        <item x="782"/>
        <item x="281"/>
        <item x="428"/>
        <item x="449"/>
        <item x="977"/>
        <item x="781"/>
        <item x="872"/>
        <item x="293"/>
        <item x="309"/>
        <item x="591"/>
        <item x="306"/>
        <item x="86"/>
        <item x="307"/>
        <item x="740"/>
        <item x="39"/>
        <item x="992"/>
        <item t="default"/>
      </items>
    </pivotField>
    <pivotField dataField="1" showAll="0"/>
    <pivotField showAll="0">
      <items count="9">
        <item x="4"/>
        <item x="0"/>
        <item x="3"/>
        <item x="1"/>
        <item x="5"/>
        <item x="2"/>
        <item x="6"/>
        <item h="1" x="7"/>
        <item t="default"/>
      </items>
    </pivotField>
    <pivotField axis="axisCol" showAll="0">
      <items count="5">
        <item x="0"/>
        <item x="2"/>
        <item x="1"/>
        <item h="1" x="3"/>
        <item t="default"/>
      </items>
    </pivotField>
    <pivotField showAll="0"/>
    <pivotField showAll="0">
      <items count="8">
        <item x="4"/>
        <item x="5"/>
        <item x="2"/>
        <item x="1"/>
        <item x="0"/>
        <item x="3"/>
        <item x="6"/>
        <item t="default"/>
      </items>
    </pivotField>
    <pivotField showAll="0">
      <items count="7">
        <item x="2"/>
        <item x="0"/>
        <item x="4"/>
        <item x="1"/>
        <item x="3"/>
        <item x="5"/>
        <item t="default"/>
      </items>
    </pivotField>
  </pivotFields>
  <rowFields count="1">
    <field x="7"/>
  </rowFields>
  <rowItems count="18">
    <i>
      <x v="14"/>
    </i>
    <i>
      <x v="15"/>
    </i>
    <i>
      <x v="4"/>
    </i>
    <i>
      <x v="8"/>
    </i>
    <i>
      <x v="13"/>
    </i>
    <i>
      <x v="1"/>
    </i>
    <i>
      <x/>
    </i>
    <i>
      <x v="3"/>
    </i>
    <i>
      <x v="5"/>
    </i>
    <i>
      <x v="7"/>
    </i>
    <i>
      <x v="12"/>
    </i>
    <i>
      <x v="16"/>
    </i>
    <i>
      <x v="6"/>
    </i>
    <i>
      <x v="11"/>
    </i>
    <i>
      <x v="2"/>
    </i>
    <i>
      <x v="9"/>
    </i>
    <i>
      <x v="10"/>
    </i>
    <i t="grand">
      <x/>
    </i>
  </rowItems>
  <colFields count="1">
    <field x="11"/>
  </colFields>
  <colItems count="4">
    <i>
      <x/>
    </i>
    <i>
      <x v="1"/>
    </i>
    <i>
      <x v="2"/>
    </i>
    <i t="grand">
      <x/>
    </i>
  </colItems>
  <dataFields count="1">
    <dataField name="Sum of HourOfDay" fld="9" baseField="0" baseItem="0"/>
  </dataFields>
  <formats count="1">
    <format dxfId="13">
      <pivotArea outline="0" collapsedLevelsAreSubtotals="1" fieldPosition="0"/>
    </format>
  </formats>
  <chartFormats count="20">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2">
          <reference field="4294967294" count="1" selected="0">
            <x v="0"/>
          </reference>
          <reference field="7" count="1" selected="0">
            <x v="1"/>
          </reference>
        </references>
      </pivotArea>
    </chartFormat>
    <chartFormat chart="38" format="2" series="1">
      <pivotArea type="data" outline="0" fieldPosition="0">
        <references count="2">
          <reference field="4294967294" count="1" selected="0">
            <x v="0"/>
          </reference>
          <reference field="7" count="1" selected="0">
            <x v="2"/>
          </reference>
        </references>
      </pivotArea>
    </chartFormat>
    <chartFormat chart="38" format="3" series="1">
      <pivotArea type="data" outline="0" fieldPosition="0">
        <references count="2">
          <reference field="4294967294" count="1" selected="0">
            <x v="0"/>
          </reference>
          <reference field="7" count="1" selected="0">
            <x v="3"/>
          </reference>
        </references>
      </pivotArea>
    </chartFormat>
    <chartFormat chart="38" format="4" series="1">
      <pivotArea type="data" outline="0" fieldPosition="0">
        <references count="2">
          <reference field="4294967294" count="1" selected="0">
            <x v="0"/>
          </reference>
          <reference field="7" count="1" selected="0">
            <x v="4"/>
          </reference>
        </references>
      </pivotArea>
    </chartFormat>
    <chartFormat chart="38" format="5" series="1">
      <pivotArea type="data" outline="0" fieldPosition="0">
        <references count="2">
          <reference field="4294967294" count="1" selected="0">
            <x v="0"/>
          </reference>
          <reference field="7" count="1" selected="0">
            <x v="5"/>
          </reference>
        </references>
      </pivotArea>
    </chartFormat>
    <chartFormat chart="38" format="6" series="1">
      <pivotArea type="data" outline="0" fieldPosition="0">
        <references count="2">
          <reference field="4294967294" count="1" selected="0">
            <x v="0"/>
          </reference>
          <reference field="7" count="1" selected="0">
            <x v="6"/>
          </reference>
        </references>
      </pivotArea>
    </chartFormat>
    <chartFormat chart="38" format="7" series="1">
      <pivotArea type="data" outline="0" fieldPosition="0">
        <references count="2">
          <reference field="4294967294" count="1" selected="0">
            <x v="0"/>
          </reference>
          <reference field="7" count="1" selected="0">
            <x v="7"/>
          </reference>
        </references>
      </pivotArea>
    </chartFormat>
    <chartFormat chart="38" format="8" series="1">
      <pivotArea type="data" outline="0" fieldPosition="0">
        <references count="2">
          <reference field="4294967294" count="1" selected="0">
            <x v="0"/>
          </reference>
          <reference field="7" count="1" selected="0">
            <x v="8"/>
          </reference>
        </references>
      </pivotArea>
    </chartFormat>
    <chartFormat chart="38" format="9" series="1">
      <pivotArea type="data" outline="0" fieldPosition="0">
        <references count="2">
          <reference field="4294967294" count="1" selected="0">
            <x v="0"/>
          </reference>
          <reference field="7" count="1" selected="0">
            <x v="9"/>
          </reference>
        </references>
      </pivotArea>
    </chartFormat>
    <chartFormat chart="38" format="10" series="1">
      <pivotArea type="data" outline="0" fieldPosition="0">
        <references count="2">
          <reference field="4294967294" count="1" selected="0">
            <x v="0"/>
          </reference>
          <reference field="7" count="1" selected="0">
            <x v="10"/>
          </reference>
        </references>
      </pivotArea>
    </chartFormat>
    <chartFormat chart="38" format="11" series="1">
      <pivotArea type="data" outline="0" fieldPosition="0">
        <references count="2">
          <reference field="4294967294" count="1" selected="0">
            <x v="0"/>
          </reference>
          <reference field="7" count="1" selected="0">
            <x v="11"/>
          </reference>
        </references>
      </pivotArea>
    </chartFormat>
    <chartFormat chart="38" format="12" series="1">
      <pivotArea type="data" outline="0" fieldPosition="0">
        <references count="2">
          <reference field="4294967294" count="1" selected="0">
            <x v="0"/>
          </reference>
          <reference field="7" count="1" selected="0">
            <x v="12"/>
          </reference>
        </references>
      </pivotArea>
    </chartFormat>
    <chartFormat chart="38" format="13" series="1">
      <pivotArea type="data" outline="0" fieldPosition="0">
        <references count="2">
          <reference field="4294967294" count="1" selected="0">
            <x v="0"/>
          </reference>
          <reference field="7" count="1" selected="0">
            <x v="13"/>
          </reference>
        </references>
      </pivotArea>
    </chartFormat>
    <chartFormat chart="38" format="14" series="1">
      <pivotArea type="data" outline="0" fieldPosition="0">
        <references count="2">
          <reference field="4294967294" count="1" selected="0">
            <x v="0"/>
          </reference>
          <reference field="7" count="1" selected="0">
            <x v="14"/>
          </reference>
        </references>
      </pivotArea>
    </chartFormat>
    <chartFormat chart="38" format="15" series="1">
      <pivotArea type="data" outline="0" fieldPosition="0">
        <references count="2">
          <reference field="4294967294" count="1" selected="0">
            <x v="0"/>
          </reference>
          <reference field="7" count="1" selected="0">
            <x v="15"/>
          </reference>
        </references>
      </pivotArea>
    </chartFormat>
    <chartFormat chart="38" format="16" series="1">
      <pivotArea type="data" outline="0" fieldPosition="0">
        <references count="2">
          <reference field="4294967294" count="1" selected="0">
            <x v="0"/>
          </reference>
          <reference field="7" count="1" selected="0">
            <x v="16"/>
          </reference>
        </references>
      </pivotArea>
    </chartFormat>
    <chartFormat chart="38" format="17" series="1">
      <pivotArea type="data" outline="0" fieldPosition="0">
        <references count="2">
          <reference field="4294967294" count="1" selected="0">
            <x v="0"/>
          </reference>
          <reference field="11" count="1" selected="0">
            <x v="1"/>
          </reference>
        </references>
      </pivotArea>
    </chartFormat>
    <chartFormat chart="38" format="18" series="1">
      <pivotArea type="data" outline="0" fieldPosition="0">
        <references count="2">
          <reference field="4294967294" count="1" selected="0">
            <x v="0"/>
          </reference>
          <reference field="11" count="1" selected="0">
            <x v="2"/>
          </reference>
        </references>
      </pivotArea>
    </chartFormat>
    <chartFormat chart="38" format="19"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21ABB8-A5F1-4666-85EC-0196291C4ACF}" name="PivotTable2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55:B162" firstHeaderRow="1" firstDataRow="1" firstDataCol="1"/>
  <pivotFields count="15">
    <pivotField dataField="1"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showAll="0">
      <items count="19">
        <item x="11"/>
        <item x="3"/>
        <item x="9"/>
        <item x="5"/>
        <item x="4"/>
        <item x="12"/>
        <item x="15"/>
        <item x="8"/>
        <item x="1"/>
        <item x="10"/>
        <item x="16"/>
        <item x="14"/>
        <item x="2"/>
        <item x="7"/>
        <item x="6"/>
        <item x="0"/>
        <item x="13"/>
        <item h="1" x="17"/>
        <item t="default"/>
      </items>
    </pivotField>
    <pivotField showAll="0">
      <items count="994">
        <item x="165"/>
        <item x="276"/>
        <item x="813"/>
        <item x="218"/>
        <item x="219"/>
        <item x="163"/>
        <item x="627"/>
        <item x="168"/>
        <item x="271"/>
        <item x="220"/>
        <item x="376"/>
        <item x="807"/>
        <item x="675"/>
        <item x="157"/>
        <item x="161"/>
        <item x="272"/>
        <item x="812"/>
        <item x="268"/>
        <item x="277"/>
        <item x="488"/>
        <item x="776"/>
        <item x="274"/>
        <item x="275"/>
        <item x="148"/>
        <item x="273"/>
        <item x="0"/>
        <item x="489"/>
        <item x="577"/>
        <item x="657"/>
        <item x="109"/>
        <item x="651"/>
        <item x="653"/>
        <item x="674"/>
        <item x="682"/>
        <item x="810"/>
        <item x="283"/>
        <item x="878"/>
        <item x="974"/>
        <item x="767"/>
        <item x="867"/>
        <item x="647"/>
        <item x="535"/>
        <item x="658"/>
        <item x="921"/>
        <item x="768"/>
        <item x="777"/>
        <item x="652"/>
        <item x="654"/>
        <item x="837"/>
        <item x="164"/>
        <item x="190"/>
        <item x="655"/>
        <item x="258"/>
        <item x="259"/>
        <item x="680"/>
        <item x="9"/>
        <item x="835"/>
        <item x="14"/>
        <item x="505"/>
        <item x="628"/>
        <item x="110"/>
        <item x="99"/>
        <item x="656"/>
        <item x="947"/>
        <item x="578"/>
        <item x="690"/>
        <item x="949"/>
        <item x="879"/>
        <item x="952"/>
        <item x="763"/>
        <item x="959"/>
        <item x="827"/>
        <item x="211"/>
        <item x="210"/>
        <item x="59"/>
        <item x="335"/>
        <item x="142"/>
        <item x="809"/>
        <item x="969"/>
        <item x="266"/>
        <item x="333"/>
        <item x="833"/>
        <item x="834"/>
        <item x="873"/>
        <item x="169"/>
        <item x="334"/>
        <item x="966"/>
        <item x="778"/>
        <item x="579"/>
        <item x="629"/>
        <item x="968"/>
        <item x="666"/>
        <item x="635"/>
        <item x="965"/>
        <item x="226"/>
        <item x="668"/>
        <item x="636"/>
        <item x="55"/>
        <item x="976"/>
        <item x="967"/>
        <item x="639"/>
        <item x="670"/>
        <item x="424"/>
        <item x="389"/>
        <item x="836"/>
        <item x="445"/>
        <item x="632"/>
        <item x="537"/>
        <item x="667"/>
        <item x="378"/>
        <item x="97"/>
        <item x="522"/>
        <item x="624"/>
        <item x="145"/>
        <item x="634"/>
        <item x="448"/>
        <item x="101"/>
        <item x="451"/>
        <item x="452"/>
        <item x="869"/>
        <item x="318"/>
        <item x="100"/>
        <item x="321"/>
        <item x="96"/>
        <item x="638"/>
        <item x="526"/>
        <item x="868"/>
        <item x="523"/>
        <item x="692"/>
        <item x="958"/>
        <item x="413"/>
        <item x="371"/>
        <item x="588"/>
        <item x="642"/>
        <item x="269"/>
        <item x="536"/>
        <item x="637"/>
        <item x="377"/>
        <item x="453"/>
        <item x="446"/>
        <item x="379"/>
        <item x="236"/>
        <item x="420"/>
        <item x="580"/>
        <item x="551"/>
        <item x="679"/>
        <item x="678"/>
        <item x="742"/>
        <item x="295"/>
        <item x="60"/>
        <item x="533"/>
        <item x="294"/>
        <item x="534"/>
        <item x="349"/>
        <item x="33"/>
        <item x="525"/>
        <item x="951"/>
        <item x="766"/>
        <item x="196"/>
        <item x="342"/>
        <item x="398"/>
        <item x="350"/>
        <item x="501"/>
        <item x="685"/>
        <item x="865"/>
        <item x="473"/>
        <item x="973"/>
        <item x="972"/>
        <item x="348"/>
        <item x="53"/>
        <item x="347"/>
        <item x="864"/>
        <item x="696"/>
        <item x="587"/>
        <item x="324"/>
        <item x="808"/>
        <item x="267"/>
        <item x="862"/>
        <item x="561"/>
        <item x="282"/>
        <item x="971"/>
        <item x="423"/>
        <item x="975"/>
        <item x="677"/>
        <item x="495"/>
        <item x="590"/>
        <item x="861"/>
        <item x="633"/>
        <item x="499"/>
        <item x="648"/>
        <item x="560"/>
        <item x="676"/>
        <item x="422"/>
        <item x="162"/>
        <item x="866"/>
        <item x="559"/>
        <item x="960"/>
        <item x="447"/>
        <item x="950"/>
        <item x="49"/>
        <item x="860"/>
        <item x="550"/>
        <item x="589"/>
        <item x="493"/>
        <item x="496"/>
        <item x="485"/>
        <item x="771"/>
        <item x="444"/>
        <item x="486"/>
        <item x="500"/>
        <item x="948"/>
        <item x="143"/>
        <item x="474"/>
        <item x="863"/>
        <item x="48"/>
        <item x="107"/>
        <item x="709"/>
        <item x="725"/>
        <item x="724"/>
        <item x="300"/>
        <item x="964"/>
        <item x="671"/>
        <item x="45"/>
        <item x="672"/>
        <item x="770"/>
        <item x="4"/>
        <item x="723"/>
        <item x="804"/>
        <item x="838"/>
        <item x="956"/>
        <item x="684"/>
        <item x="7"/>
        <item x="753"/>
        <item x="754"/>
        <item x="270"/>
        <item x="144"/>
        <item x="772"/>
        <item x="934"/>
        <item x="106"/>
        <item x="32"/>
        <item x="765"/>
        <item x="673"/>
        <item x="440"/>
        <item x="557"/>
        <item x="262"/>
        <item x="15"/>
        <item x="797"/>
        <item x="134"/>
        <item x="694"/>
        <item x="497"/>
        <item x="314"/>
        <item x="125"/>
        <item x="408"/>
        <item x="126"/>
        <item x="250"/>
        <item x="562"/>
        <item x="718"/>
        <item x="498"/>
        <item x="385"/>
        <item x="388"/>
        <item x="136"/>
        <item x="137"/>
        <item x="823"/>
        <item x="546"/>
        <item x="222"/>
        <item x="127"/>
        <item x="695"/>
        <item x="987"/>
        <item x="340"/>
        <item x="484"/>
        <item x="494"/>
        <item x="970"/>
        <item x="341"/>
        <item x="92"/>
        <item x="729"/>
        <item x="842"/>
        <item x="839"/>
        <item x="330"/>
        <item x="691"/>
        <item x="316"/>
        <item x="686"/>
        <item x="583"/>
        <item x="986"/>
        <item x="208"/>
        <item x="203"/>
        <item x="375"/>
        <item x="197"/>
        <item x="374"/>
        <item x="985"/>
        <item x="329"/>
        <item x="317"/>
        <item x="95"/>
        <item x="991"/>
        <item x="112"/>
        <item x="887"/>
        <item x="573"/>
        <item x="166"/>
        <item x="129"/>
        <item x="817"/>
        <item x="576"/>
        <item x="811"/>
        <item x="822"/>
        <item x="450"/>
        <item x="206"/>
        <item x="511"/>
        <item x="788"/>
        <item x="982"/>
        <item x="462"/>
        <item x="463"/>
        <item x="392"/>
        <item x="56"/>
        <item x="235"/>
        <item x="988"/>
        <item x="614"/>
        <item x="769"/>
        <item x="233"/>
        <item x="832"/>
        <item x="529"/>
        <item x="802"/>
        <item x="418"/>
        <item x="207"/>
        <item x="722"/>
        <item x="264"/>
        <item x="829"/>
        <item x="830"/>
        <item x="13"/>
        <item x="799"/>
        <item x="571"/>
        <item x="231"/>
        <item x="311"/>
        <item x="390"/>
        <item x="502"/>
        <item x="531"/>
        <item x="570"/>
        <item x="503"/>
        <item x="530"/>
        <item x="303"/>
        <item x="38"/>
        <item x="575"/>
        <item x="527"/>
        <item x="198"/>
        <item x="242"/>
        <item x="897"/>
        <item x="239"/>
        <item x="898"/>
        <item x="313"/>
        <item x="243"/>
        <item x="310"/>
        <item x="615"/>
        <item x="147"/>
        <item x="47"/>
        <item x="238"/>
        <item x="237"/>
        <item x="199"/>
        <item x="244"/>
        <item x="339"/>
        <item x="926"/>
        <item x="111"/>
        <item x="730"/>
        <item x="816"/>
        <item x="397"/>
        <item x="711"/>
        <item x="556"/>
        <item x="892"/>
        <item x="893"/>
        <item x="487"/>
        <item x="43"/>
        <item x="831"/>
        <item x="549"/>
        <item x="851"/>
        <item x="469"/>
        <item x="18"/>
        <item x="751"/>
        <item x="541"/>
        <item x="396"/>
        <item x="889"/>
        <item x="697"/>
        <item x="698"/>
        <item x="699"/>
        <item x="470"/>
        <item x="764"/>
        <item x="572"/>
        <item x="19"/>
        <item x="383"/>
        <item x="384"/>
        <item x="584"/>
        <item x="888"/>
        <item x="301"/>
        <item x="555"/>
        <item x="538"/>
        <item x="16"/>
        <item x="230"/>
        <item x="890"/>
        <item x="891"/>
        <item x="954"/>
        <item x="800"/>
        <item x="801"/>
        <item x="848"/>
        <item x="847"/>
        <item x="661"/>
        <item x="662"/>
        <item x="285"/>
        <item x="409"/>
        <item x="240"/>
        <item x="539"/>
        <item x="925"/>
        <item x="410"/>
        <item x="98"/>
        <item x="286"/>
        <item x="411"/>
        <item x="412"/>
        <item x="44"/>
        <item x="660"/>
        <item x="663"/>
        <item x="953"/>
        <item x="455"/>
        <item x="906"/>
        <item x="17"/>
        <item x="288"/>
        <item x="803"/>
        <item x="886"/>
        <item x="284"/>
        <item x="907"/>
        <item x="908"/>
        <item x="37"/>
        <item x="417"/>
        <item x="540"/>
        <item x="712"/>
        <item x="927"/>
        <item x="885"/>
        <item x="78"/>
        <item x="302"/>
        <item x="646"/>
        <item x="905"/>
        <item x="386"/>
        <item x="936"/>
        <item x="327"/>
        <item x="205"/>
        <item x="626"/>
        <item x="84"/>
        <item x="719"/>
        <item x="720"/>
        <item x="563"/>
        <item x="849"/>
        <item x="82"/>
        <item x="558"/>
        <item x="416"/>
        <item x="200"/>
        <item x="265"/>
        <item x="290"/>
        <item x="81"/>
        <item x="312"/>
        <item x="353"/>
        <item x="752"/>
        <item x="151"/>
        <item x="289"/>
        <item x="354"/>
        <item x="472"/>
        <item x="46"/>
        <item x="805"/>
        <item x="543"/>
        <item x="75"/>
        <item x="542"/>
        <item x="616"/>
        <item x="791"/>
        <item x="935"/>
        <item x="855"/>
        <item x="30"/>
        <item x="581"/>
        <item x="29"/>
        <item x="152"/>
        <item x="479"/>
        <item x="909"/>
        <item x="798"/>
        <item x="393"/>
        <item x="456"/>
        <item x="263"/>
        <item x="457"/>
        <item x="394"/>
        <item x="89"/>
        <item x="850"/>
        <item x="910"/>
        <item x="366"/>
        <item x="367"/>
        <item x="900"/>
        <item x="961"/>
        <item x="355"/>
        <item x="594"/>
        <item x="223"/>
        <item x="585"/>
        <item x="544"/>
        <item x="214"/>
        <item x="215"/>
        <item x="216"/>
        <item x="395"/>
        <item x="83"/>
        <item x="775"/>
        <item x="21"/>
        <item x="939"/>
        <item x="683"/>
        <item x="731"/>
        <item x="108"/>
        <item x="824"/>
        <item x="12"/>
        <item x="625"/>
        <item x="460"/>
        <item x="595"/>
        <item x="978"/>
        <item x="825"/>
        <item x="518"/>
        <item x="54"/>
        <item x="22"/>
        <item x="167"/>
        <item x="20"/>
        <item x="877"/>
        <item x="641"/>
        <item x="369"/>
        <item x="225"/>
        <item x="913"/>
        <item x="820"/>
        <item x="57"/>
        <item x="650"/>
        <item x="192"/>
        <item x="191"/>
        <item x="373"/>
        <item x="461"/>
        <item x="291"/>
        <item x="520"/>
        <item x="189"/>
        <item x="963"/>
        <item x="441"/>
        <item x="58"/>
        <item x="27"/>
        <item x="287"/>
        <item x="79"/>
        <item x="232"/>
        <item x="73"/>
        <item x="911"/>
        <item x="701"/>
        <item x="50"/>
        <item x="937"/>
        <item x="356"/>
        <item x="193"/>
        <item x="194"/>
        <item x="737"/>
        <item x="246"/>
        <item x="649"/>
        <item x="944"/>
        <item x="945"/>
        <item x="640"/>
        <item x="217"/>
        <item x="331"/>
        <item x="918"/>
        <item x="255"/>
        <item x="749"/>
        <item x="919"/>
        <item x="745"/>
        <item x="467"/>
        <item x="241"/>
        <item x="707"/>
        <item x="515"/>
        <item x="514"/>
        <item x="916"/>
        <item x="938"/>
        <item x="605"/>
        <item x="606"/>
        <item x="490"/>
        <item x="31"/>
        <item x="607"/>
        <item x="932"/>
        <item x="920"/>
        <item x="716"/>
        <item x="717"/>
        <item x="681"/>
        <item x="618"/>
        <item x="734"/>
        <item x="896"/>
        <item x="608"/>
        <item x="421"/>
        <item x="814"/>
        <item x="922"/>
        <item x="884"/>
        <item x="856"/>
        <item x="601"/>
        <item x="516"/>
        <item x="414"/>
        <item x="733"/>
        <item x="158"/>
        <item x="815"/>
        <item x="517"/>
        <item x="593"/>
        <item x="212"/>
        <item x="114"/>
        <item x="292"/>
        <item x="852"/>
        <item x="468"/>
        <item x="609"/>
        <item x="102"/>
        <item x="368"/>
        <item x="88"/>
        <item x="103"/>
        <item x="104"/>
        <item x="160"/>
        <item x="315"/>
        <item x="115"/>
        <item x="159"/>
        <item x="172"/>
        <item x="702"/>
        <item x="727"/>
        <item x="128"/>
        <item x="713"/>
        <item x="130"/>
        <item x="131"/>
        <item x="245"/>
        <item x="617"/>
        <item x="28"/>
        <item x="899"/>
        <item x="774"/>
        <item x="598"/>
        <item x="989"/>
        <item x="599"/>
        <item x="600"/>
        <item x="693"/>
        <item x="251"/>
        <item x="224"/>
        <item x="425"/>
        <item x="150"/>
        <item x="506"/>
        <item x="34"/>
        <item x="741"/>
        <item x="990"/>
        <item x="933"/>
        <item x="480"/>
        <item x="806"/>
        <item x="67"/>
        <item x="726"/>
        <item x="299"/>
        <item x="51"/>
        <item x="332"/>
        <item x="894"/>
        <item x="476"/>
        <item x="52"/>
        <item x="256"/>
        <item x="336"/>
        <item x="171"/>
        <item x="41"/>
        <item x="364"/>
        <item x="116"/>
        <item x="477"/>
        <item x="234"/>
        <item x="25"/>
        <item x="519"/>
        <item x="71"/>
        <item x="755"/>
        <item x="604"/>
        <item x="943"/>
        <item x="881"/>
        <item x="928"/>
        <item x="117"/>
        <item x="492"/>
        <item x="93"/>
        <item x="337"/>
        <item x="338"/>
        <item x="94"/>
        <item x="391"/>
        <item x="36"/>
        <item x="915"/>
        <item x="957"/>
        <item x="507"/>
        <item x="687"/>
        <item x="80"/>
        <item x="513"/>
        <item x="124"/>
        <item x="387"/>
        <item x="779"/>
        <item x="365"/>
        <item x="508"/>
        <item x="40"/>
        <item x="613"/>
        <item x="69"/>
        <item x="70"/>
        <item x="901"/>
        <item x="119"/>
        <item x="120"/>
        <item x="880"/>
        <item x="91"/>
        <item x="436"/>
        <item x="439"/>
        <item x="902"/>
        <item x="509"/>
        <item x="510"/>
        <item x="491"/>
        <item x="857"/>
        <item x="228"/>
        <item x="442"/>
        <item x="547"/>
        <item x="280"/>
        <item x="319"/>
        <item x="279"/>
        <item x="784"/>
        <item x="955"/>
        <item x="773"/>
        <item x="320"/>
        <item x="983"/>
        <item x="643"/>
        <item x="61"/>
        <item x="929"/>
        <item x="443"/>
        <item x="149"/>
        <item x="170"/>
        <item x="437"/>
        <item x="62"/>
        <item x="87"/>
        <item x="644"/>
        <item x="118"/>
        <item x="620"/>
        <item x="545"/>
        <item x="582"/>
        <item x="438"/>
        <item x="90"/>
        <item x="840"/>
        <item x="917"/>
        <item x="372"/>
        <item x="621"/>
        <item x="602"/>
        <item x="962"/>
        <item x="942"/>
        <item x="796"/>
        <item x="257"/>
        <item x="121"/>
        <item x="122"/>
        <item x="795"/>
        <item x="401"/>
        <item x="415"/>
        <item x="478"/>
        <item x="308"/>
        <item x="700"/>
        <item x="940"/>
        <item x="941"/>
        <item x="345"/>
        <item x="736"/>
        <item x="187"/>
        <item x="792"/>
        <item x="178"/>
        <item x="352"/>
        <item x="895"/>
        <item x="201"/>
        <item x="202"/>
        <item x="399"/>
        <item x="63"/>
        <item x="5"/>
        <item x="984"/>
        <item x="179"/>
        <item x="177"/>
        <item x="173"/>
        <item x="68"/>
        <item x="64"/>
        <item x="739"/>
        <item x="785"/>
        <item x="645"/>
        <item x="400"/>
        <item x="923"/>
        <item x="738"/>
        <item x="459"/>
        <item x="930"/>
        <item x="659"/>
        <item x="912"/>
        <item x="710"/>
        <item x="793"/>
        <item x="843"/>
        <item x="426"/>
        <item x="427"/>
        <item x="323"/>
        <item x="924"/>
        <item x="6"/>
        <item x="304"/>
        <item x="305"/>
        <item x="180"/>
        <item x="715"/>
        <item x="735"/>
        <item x="429"/>
        <item x="325"/>
        <item x="981"/>
        <item x="174"/>
        <item x="326"/>
        <item x="611"/>
        <item x="175"/>
        <item x="882"/>
        <item x="204"/>
        <item x="524"/>
        <item x="794"/>
        <item x="780"/>
        <item x="430"/>
        <item x="213"/>
        <item x="140"/>
        <item x="475"/>
        <item x="405"/>
        <item x="435"/>
        <item x="248"/>
        <item x="406"/>
        <item x="708"/>
        <item x="903"/>
        <item x="154"/>
        <item x="186"/>
        <item x="407"/>
        <item x="946"/>
        <item x="980"/>
        <item x="471"/>
        <item x="592"/>
        <item x="521"/>
        <item x="176"/>
        <item x="113"/>
        <item x="883"/>
        <item x="714"/>
        <item x="351"/>
        <item x="322"/>
        <item x="278"/>
        <item x="221"/>
        <item x="870"/>
        <item x="209"/>
        <item x="622"/>
        <item x="195"/>
        <item x="357"/>
        <item x="419"/>
        <item x="328"/>
        <item x="703"/>
        <item x="565"/>
        <item x="434"/>
        <item x="979"/>
        <item x="512"/>
        <item x="569"/>
        <item x="10"/>
        <item x="74"/>
        <item x="665"/>
        <item x="135"/>
        <item x="123"/>
        <item x="146"/>
        <item x="504"/>
        <item x="853"/>
        <item x="756"/>
        <item x="458"/>
        <item x="564"/>
        <item x="610"/>
        <item x="858"/>
        <item x="554"/>
        <item x="253"/>
        <item x="184"/>
        <item x="183"/>
        <item x="688"/>
        <item x="464"/>
        <item x="787"/>
        <item x="748"/>
        <item x="721"/>
        <item x="344"/>
        <item x="3"/>
        <item x="761"/>
        <item x="786"/>
        <item x="664"/>
        <item x="586"/>
        <item x="358"/>
        <item x="789"/>
        <item x="841"/>
        <item x="790"/>
        <item x="728"/>
        <item x="382"/>
        <item x="689"/>
        <item x="141"/>
        <item x="404"/>
        <item x="465"/>
        <item x="72"/>
        <item x="254"/>
        <item x="153"/>
        <item x="11"/>
        <item x="732"/>
        <item x="139"/>
        <item x="597"/>
        <item x="156"/>
        <item x="359"/>
        <item x="876"/>
        <item x="155"/>
        <item x="819"/>
        <item x="261"/>
        <item x="247"/>
        <item x="402"/>
        <item x="623"/>
        <item x="133"/>
        <item x="669"/>
        <item x="567"/>
        <item x="132"/>
        <item x="138"/>
        <item x="874"/>
        <item x="875"/>
        <item x="568"/>
        <item x="403"/>
        <item x="482"/>
        <item x="296"/>
        <item x="260"/>
        <item x="596"/>
        <item x="904"/>
        <item x="432"/>
        <item x="566"/>
        <item x="532"/>
        <item x="297"/>
        <item x="380"/>
        <item x="181"/>
        <item x="182"/>
        <item x="744"/>
        <item x="552"/>
        <item x="528"/>
        <item x="431"/>
        <item x="553"/>
        <item x="252"/>
        <item x="844"/>
        <item x="26"/>
        <item x="846"/>
        <item x="630"/>
        <item x="185"/>
        <item x="746"/>
        <item x="631"/>
        <item x="762"/>
        <item x="747"/>
        <item x="603"/>
        <item x="483"/>
        <item x="821"/>
        <item x="35"/>
        <item x="548"/>
        <item x="466"/>
        <item x="854"/>
        <item x="76"/>
        <item x="759"/>
        <item x="363"/>
        <item x="783"/>
        <item x="227"/>
        <item x="750"/>
        <item x="481"/>
        <item x="758"/>
        <item x="249"/>
        <item x="188"/>
        <item x="612"/>
        <item x="1"/>
        <item x="931"/>
        <item x="619"/>
        <item x="105"/>
        <item x="433"/>
        <item x="77"/>
        <item x="229"/>
        <item x="706"/>
        <item x="760"/>
        <item x="705"/>
        <item x="85"/>
        <item x="454"/>
        <item x="298"/>
        <item x="360"/>
        <item x="66"/>
        <item x="914"/>
        <item x="845"/>
        <item x="574"/>
        <item x="757"/>
        <item x="362"/>
        <item x="826"/>
        <item x="2"/>
        <item x="346"/>
        <item x="381"/>
        <item x="24"/>
        <item x="343"/>
        <item x="743"/>
        <item x="828"/>
        <item x="859"/>
        <item x="23"/>
        <item x="704"/>
        <item x="361"/>
        <item x="871"/>
        <item x="8"/>
        <item x="65"/>
        <item x="42"/>
        <item x="370"/>
        <item x="818"/>
        <item x="782"/>
        <item x="281"/>
        <item x="428"/>
        <item x="449"/>
        <item x="977"/>
        <item x="781"/>
        <item x="872"/>
        <item x="293"/>
        <item x="309"/>
        <item x="591"/>
        <item x="306"/>
        <item x="86"/>
        <item x="307"/>
        <item x="740"/>
        <item x="39"/>
        <item x="992"/>
        <item t="default"/>
      </items>
    </pivotField>
    <pivotField showAll="0"/>
    <pivotField showAll="0">
      <items count="9">
        <item x="4"/>
        <item x="0"/>
        <item x="3"/>
        <item x="1"/>
        <item x="5"/>
        <item x="2"/>
        <item x="6"/>
        <item h="1" x="7"/>
        <item t="default"/>
      </items>
    </pivotField>
    <pivotField showAll="0"/>
    <pivotField showAll="0"/>
    <pivotField axis="axisRow" showAll="0" sortType="descending">
      <items count="8">
        <item x="4"/>
        <item x="5"/>
        <item x="2"/>
        <item x="1"/>
        <item x="0"/>
        <item x="3"/>
        <item h="1" x="6"/>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s>
  <rowFields count="1">
    <field x="13"/>
  </rowFields>
  <rowItems count="7">
    <i>
      <x v="5"/>
    </i>
    <i>
      <x v="4"/>
    </i>
    <i>
      <x/>
    </i>
    <i>
      <x v="2"/>
    </i>
    <i>
      <x v="3"/>
    </i>
    <i>
      <x v="1"/>
    </i>
    <i t="grand">
      <x/>
    </i>
  </rowItems>
  <colItems count="1">
    <i/>
  </colItems>
  <dataFields count="1">
    <dataField name="Sum of UserID_Profile" fld="0" baseField="0" baseItem="0"/>
  </dataFields>
  <formats count="1">
    <format dxfId="33">
      <pivotArea outline="0" collapsedLevelsAreSubtotals="1" fieldPosition="0"/>
    </format>
  </formats>
  <chartFormats count="1">
    <chartFormat chart="3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7D330A-AAC5-4D97-8B6B-F51FBDEB8EEA}" name="PivotTable18"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6">
  <location ref="A134:I153" firstHeaderRow="1" firstDataRow="2" firstDataCol="1"/>
  <pivotFields count="15">
    <pivotField dataField="1"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axis="axisRow" showAll="0">
      <items count="19">
        <item x="11"/>
        <item x="3"/>
        <item x="9"/>
        <item x="5"/>
        <item x="4"/>
        <item x="12"/>
        <item x="15"/>
        <item x="8"/>
        <item x="1"/>
        <item x="10"/>
        <item x="16"/>
        <item x="14"/>
        <item x="2"/>
        <item x="7"/>
        <item x="6"/>
        <item x="0"/>
        <item x="13"/>
        <item h="1" x="17"/>
        <item t="default"/>
      </items>
    </pivotField>
    <pivotField showAll="0">
      <items count="994">
        <item x="165"/>
        <item x="276"/>
        <item x="813"/>
        <item x="218"/>
        <item x="219"/>
        <item x="163"/>
        <item x="627"/>
        <item x="168"/>
        <item x="271"/>
        <item x="220"/>
        <item x="376"/>
        <item x="807"/>
        <item x="675"/>
        <item x="157"/>
        <item x="161"/>
        <item x="272"/>
        <item x="812"/>
        <item x="268"/>
        <item x="277"/>
        <item x="488"/>
        <item x="776"/>
        <item x="274"/>
        <item x="275"/>
        <item x="148"/>
        <item x="273"/>
        <item x="0"/>
        <item x="489"/>
        <item x="577"/>
        <item x="657"/>
        <item x="109"/>
        <item x="651"/>
        <item x="653"/>
        <item x="674"/>
        <item x="682"/>
        <item x="810"/>
        <item x="283"/>
        <item x="878"/>
        <item x="974"/>
        <item x="767"/>
        <item x="867"/>
        <item x="647"/>
        <item x="535"/>
        <item x="658"/>
        <item x="921"/>
        <item x="768"/>
        <item x="777"/>
        <item x="652"/>
        <item x="654"/>
        <item x="837"/>
        <item x="164"/>
        <item x="190"/>
        <item x="655"/>
        <item x="258"/>
        <item x="259"/>
        <item x="680"/>
        <item x="9"/>
        <item x="835"/>
        <item x="14"/>
        <item x="505"/>
        <item x="628"/>
        <item x="110"/>
        <item x="99"/>
        <item x="656"/>
        <item x="947"/>
        <item x="578"/>
        <item x="690"/>
        <item x="949"/>
        <item x="879"/>
        <item x="952"/>
        <item x="763"/>
        <item x="959"/>
        <item x="827"/>
        <item x="211"/>
        <item x="210"/>
        <item x="59"/>
        <item x="335"/>
        <item x="142"/>
        <item x="809"/>
        <item x="969"/>
        <item x="266"/>
        <item x="333"/>
        <item x="833"/>
        <item x="834"/>
        <item x="873"/>
        <item x="169"/>
        <item x="334"/>
        <item x="966"/>
        <item x="778"/>
        <item x="579"/>
        <item x="629"/>
        <item x="968"/>
        <item x="666"/>
        <item x="635"/>
        <item x="965"/>
        <item x="226"/>
        <item x="668"/>
        <item x="636"/>
        <item x="55"/>
        <item x="976"/>
        <item x="967"/>
        <item x="639"/>
        <item x="670"/>
        <item x="424"/>
        <item x="389"/>
        <item x="836"/>
        <item x="445"/>
        <item x="632"/>
        <item x="537"/>
        <item x="667"/>
        <item x="378"/>
        <item x="97"/>
        <item x="522"/>
        <item x="624"/>
        <item x="145"/>
        <item x="634"/>
        <item x="448"/>
        <item x="101"/>
        <item x="451"/>
        <item x="452"/>
        <item x="869"/>
        <item x="318"/>
        <item x="100"/>
        <item x="321"/>
        <item x="96"/>
        <item x="638"/>
        <item x="526"/>
        <item x="868"/>
        <item x="523"/>
        <item x="692"/>
        <item x="958"/>
        <item x="413"/>
        <item x="371"/>
        <item x="588"/>
        <item x="642"/>
        <item x="269"/>
        <item x="536"/>
        <item x="637"/>
        <item x="377"/>
        <item x="453"/>
        <item x="446"/>
        <item x="379"/>
        <item x="236"/>
        <item x="420"/>
        <item x="580"/>
        <item x="551"/>
        <item x="679"/>
        <item x="678"/>
        <item x="742"/>
        <item x="295"/>
        <item x="60"/>
        <item x="533"/>
        <item x="294"/>
        <item x="534"/>
        <item x="349"/>
        <item x="33"/>
        <item x="525"/>
        <item x="951"/>
        <item x="766"/>
        <item x="196"/>
        <item x="342"/>
        <item x="398"/>
        <item x="350"/>
        <item x="501"/>
        <item x="685"/>
        <item x="865"/>
        <item x="473"/>
        <item x="973"/>
        <item x="972"/>
        <item x="348"/>
        <item x="53"/>
        <item x="347"/>
        <item x="864"/>
        <item x="696"/>
        <item x="587"/>
        <item x="324"/>
        <item x="808"/>
        <item x="267"/>
        <item x="862"/>
        <item x="561"/>
        <item x="282"/>
        <item x="971"/>
        <item x="423"/>
        <item x="975"/>
        <item x="677"/>
        <item x="495"/>
        <item x="590"/>
        <item x="861"/>
        <item x="633"/>
        <item x="499"/>
        <item x="648"/>
        <item x="560"/>
        <item x="676"/>
        <item x="422"/>
        <item x="162"/>
        <item x="866"/>
        <item x="559"/>
        <item x="960"/>
        <item x="447"/>
        <item x="950"/>
        <item x="49"/>
        <item x="860"/>
        <item x="550"/>
        <item x="589"/>
        <item x="493"/>
        <item x="496"/>
        <item x="485"/>
        <item x="771"/>
        <item x="444"/>
        <item x="486"/>
        <item x="500"/>
        <item x="948"/>
        <item x="143"/>
        <item x="474"/>
        <item x="863"/>
        <item x="48"/>
        <item x="107"/>
        <item x="709"/>
        <item x="725"/>
        <item x="724"/>
        <item x="300"/>
        <item x="964"/>
        <item x="671"/>
        <item x="45"/>
        <item x="672"/>
        <item x="770"/>
        <item x="4"/>
        <item x="723"/>
        <item x="804"/>
        <item x="838"/>
        <item x="956"/>
        <item x="684"/>
        <item x="7"/>
        <item x="753"/>
        <item x="754"/>
        <item x="270"/>
        <item x="144"/>
        <item x="772"/>
        <item x="934"/>
        <item x="106"/>
        <item x="32"/>
        <item x="765"/>
        <item x="673"/>
        <item x="440"/>
        <item x="557"/>
        <item x="262"/>
        <item x="15"/>
        <item x="797"/>
        <item x="134"/>
        <item x="694"/>
        <item x="497"/>
        <item x="314"/>
        <item x="125"/>
        <item x="408"/>
        <item x="126"/>
        <item x="250"/>
        <item x="562"/>
        <item x="718"/>
        <item x="498"/>
        <item x="385"/>
        <item x="388"/>
        <item x="136"/>
        <item x="137"/>
        <item x="823"/>
        <item x="546"/>
        <item x="222"/>
        <item x="127"/>
        <item x="695"/>
        <item x="987"/>
        <item x="340"/>
        <item x="484"/>
        <item x="494"/>
        <item x="970"/>
        <item x="341"/>
        <item x="92"/>
        <item x="729"/>
        <item x="842"/>
        <item x="839"/>
        <item x="330"/>
        <item x="691"/>
        <item x="316"/>
        <item x="686"/>
        <item x="583"/>
        <item x="986"/>
        <item x="208"/>
        <item x="203"/>
        <item x="375"/>
        <item x="197"/>
        <item x="374"/>
        <item x="985"/>
        <item x="329"/>
        <item x="317"/>
        <item x="95"/>
        <item x="991"/>
        <item x="112"/>
        <item x="887"/>
        <item x="573"/>
        <item x="166"/>
        <item x="129"/>
        <item x="817"/>
        <item x="576"/>
        <item x="811"/>
        <item x="822"/>
        <item x="450"/>
        <item x="206"/>
        <item x="511"/>
        <item x="788"/>
        <item x="982"/>
        <item x="462"/>
        <item x="463"/>
        <item x="392"/>
        <item x="56"/>
        <item x="235"/>
        <item x="988"/>
        <item x="614"/>
        <item x="769"/>
        <item x="233"/>
        <item x="832"/>
        <item x="529"/>
        <item x="802"/>
        <item x="418"/>
        <item x="207"/>
        <item x="722"/>
        <item x="264"/>
        <item x="829"/>
        <item x="830"/>
        <item x="13"/>
        <item x="799"/>
        <item x="571"/>
        <item x="231"/>
        <item x="311"/>
        <item x="390"/>
        <item x="502"/>
        <item x="531"/>
        <item x="570"/>
        <item x="503"/>
        <item x="530"/>
        <item x="303"/>
        <item x="38"/>
        <item x="575"/>
        <item x="527"/>
        <item x="198"/>
        <item x="242"/>
        <item x="897"/>
        <item x="239"/>
        <item x="898"/>
        <item x="313"/>
        <item x="243"/>
        <item x="310"/>
        <item x="615"/>
        <item x="147"/>
        <item x="47"/>
        <item x="238"/>
        <item x="237"/>
        <item x="199"/>
        <item x="244"/>
        <item x="339"/>
        <item x="926"/>
        <item x="111"/>
        <item x="730"/>
        <item x="816"/>
        <item x="397"/>
        <item x="711"/>
        <item x="556"/>
        <item x="892"/>
        <item x="893"/>
        <item x="487"/>
        <item x="43"/>
        <item x="831"/>
        <item x="549"/>
        <item x="851"/>
        <item x="469"/>
        <item x="18"/>
        <item x="751"/>
        <item x="541"/>
        <item x="396"/>
        <item x="889"/>
        <item x="697"/>
        <item x="698"/>
        <item x="699"/>
        <item x="470"/>
        <item x="764"/>
        <item x="572"/>
        <item x="19"/>
        <item x="383"/>
        <item x="384"/>
        <item x="584"/>
        <item x="888"/>
        <item x="301"/>
        <item x="555"/>
        <item x="538"/>
        <item x="16"/>
        <item x="230"/>
        <item x="890"/>
        <item x="891"/>
        <item x="954"/>
        <item x="800"/>
        <item x="801"/>
        <item x="848"/>
        <item x="847"/>
        <item x="661"/>
        <item x="662"/>
        <item x="285"/>
        <item x="409"/>
        <item x="240"/>
        <item x="539"/>
        <item x="925"/>
        <item x="410"/>
        <item x="98"/>
        <item x="286"/>
        <item x="411"/>
        <item x="412"/>
        <item x="44"/>
        <item x="660"/>
        <item x="663"/>
        <item x="953"/>
        <item x="455"/>
        <item x="906"/>
        <item x="17"/>
        <item x="288"/>
        <item x="803"/>
        <item x="886"/>
        <item x="284"/>
        <item x="907"/>
        <item x="908"/>
        <item x="37"/>
        <item x="417"/>
        <item x="540"/>
        <item x="712"/>
        <item x="927"/>
        <item x="885"/>
        <item x="78"/>
        <item x="302"/>
        <item x="646"/>
        <item x="905"/>
        <item x="386"/>
        <item x="936"/>
        <item x="327"/>
        <item x="205"/>
        <item x="626"/>
        <item x="84"/>
        <item x="719"/>
        <item x="720"/>
        <item x="563"/>
        <item x="849"/>
        <item x="82"/>
        <item x="558"/>
        <item x="416"/>
        <item x="200"/>
        <item x="265"/>
        <item x="290"/>
        <item x="81"/>
        <item x="312"/>
        <item x="353"/>
        <item x="752"/>
        <item x="151"/>
        <item x="289"/>
        <item x="354"/>
        <item x="472"/>
        <item x="46"/>
        <item x="805"/>
        <item x="543"/>
        <item x="75"/>
        <item x="542"/>
        <item x="616"/>
        <item x="791"/>
        <item x="935"/>
        <item x="855"/>
        <item x="30"/>
        <item x="581"/>
        <item x="29"/>
        <item x="152"/>
        <item x="479"/>
        <item x="909"/>
        <item x="798"/>
        <item x="393"/>
        <item x="456"/>
        <item x="263"/>
        <item x="457"/>
        <item x="394"/>
        <item x="89"/>
        <item x="850"/>
        <item x="910"/>
        <item x="366"/>
        <item x="367"/>
        <item x="900"/>
        <item x="961"/>
        <item x="355"/>
        <item x="594"/>
        <item x="223"/>
        <item x="585"/>
        <item x="544"/>
        <item x="214"/>
        <item x="215"/>
        <item x="216"/>
        <item x="395"/>
        <item x="83"/>
        <item x="775"/>
        <item x="21"/>
        <item x="939"/>
        <item x="683"/>
        <item x="731"/>
        <item x="108"/>
        <item x="824"/>
        <item x="12"/>
        <item x="625"/>
        <item x="460"/>
        <item x="595"/>
        <item x="978"/>
        <item x="825"/>
        <item x="518"/>
        <item x="54"/>
        <item x="22"/>
        <item x="167"/>
        <item x="20"/>
        <item x="877"/>
        <item x="641"/>
        <item x="369"/>
        <item x="225"/>
        <item x="913"/>
        <item x="820"/>
        <item x="57"/>
        <item x="650"/>
        <item x="192"/>
        <item x="191"/>
        <item x="373"/>
        <item x="461"/>
        <item x="291"/>
        <item x="520"/>
        <item x="189"/>
        <item x="963"/>
        <item x="441"/>
        <item x="58"/>
        <item x="27"/>
        <item x="287"/>
        <item x="79"/>
        <item x="232"/>
        <item x="73"/>
        <item x="911"/>
        <item x="701"/>
        <item x="50"/>
        <item x="937"/>
        <item x="356"/>
        <item x="193"/>
        <item x="194"/>
        <item x="737"/>
        <item x="246"/>
        <item x="649"/>
        <item x="944"/>
        <item x="945"/>
        <item x="640"/>
        <item x="217"/>
        <item x="331"/>
        <item x="918"/>
        <item x="255"/>
        <item x="749"/>
        <item x="919"/>
        <item x="745"/>
        <item x="467"/>
        <item x="241"/>
        <item x="707"/>
        <item x="515"/>
        <item x="514"/>
        <item x="916"/>
        <item x="938"/>
        <item x="605"/>
        <item x="606"/>
        <item x="490"/>
        <item x="31"/>
        <item x="607"/>
        <item x="932"/>
        <item x="920"/>
        <item x="716"/>
        <item x="717"/>
        <item x="681"/>
        <item x="618"/>
        <item x="734"/>
        <item x="896"/>
        <item x="608"/>
        <item x="421"/>
        <item x="814"/>
        <item x="922"/>
        <item x="884"/>
        <item x="856"/>
        <item x="601"/>
        <item x="516"/>
        <item x="414"/>
        <item x="733"/>
        <item x="158"/>
        <item x="815"/>
        <item x="517"/>
        <item x="593"/>
        <item x="212"/>
        <item x="114"/>
        <item x="292"/>
        <item x="852"/>
        <item x="468"/>
        <item x="609"/>
        <item x="102"/>
        <item x="368"/>
        <item x="88"/>
        <item x="103"/>
        <item x="104"/>
        <item x="160"/>
        <item x="315"/>
        <item x="115"/>
        <item x="159"/>
        <item x="172"/>
        <item x="702"/>
        <item x="727"/>
        <item x="128"/>
        <item x="713"/>
        <item x="130"/>
        <item x="131"/>
        <item x="245"/>
        <item x="617"/>
        <item x="28"/>
        <item x="899"/>
        <item x="774"/>
        <item x="598"/>
        <item x="989"/>
        <item x="599"/>
        <item x="600"/>
        <item x="693"/>
        <item x="251"/>
        <item x="224"/>
        <item x="425"/>
        <item x="150"/>
        <item x="506"/>
        <item x="34"/>
        <item x="741"/>
        <item x="990"/>
        <item x="933"/>
        <item x="480"/>
        <item x="806"/>
        <item x="67"/>
        <item x="726"/>
        <item x="299"/>
        <item x="51"/>
        <item x="332"/>
        <item x="894"/>
        <item x="476"/>
        <item x="52"/>
        <item x="256"/>
        <item x="336"/>
        <item x="171"/>
        <item x="41"/>
        <item x="364"/>
        <item x="116"/>
        <item x="477"/>
        <item x="234"/>
        <item x="25"/>
        <item x="519"/>
        <item x="71"/>
        <item x="755"/>
        <item x="604"/>
        <item x="943"/>
        <item x="881"/>
        <item x="928"/>
        <item x="117"/>
        <item x="492"/>
        <item x="93"/>
        <item x="337"/>
        <item x="338"/>
        <item x="94"/>
        <item x="391"/>
        <item x="36"/>
        <item x="915"/>
        <item x="957"/>
        <item x="507"/>
        <item x="687"/>
        <item x="80"/>
        <item x="513"/>
        <item x="124"/>
        <item x="387"/>
        <item x="779"/>
        <item x="365"/>
        <item x="508"/>
        <item x="40"/>
        <item x="613"/>
        <item x="69"/>
        <item x="70"/>
        <item x="901"/>
        <item x="119"/>
        <item x="120"/>
        <item x="880"/>
        <item x="91"/>
        <item x="436"/>
        <item x="439"/>
        <item x="902"/>
        <item x="509"/>
        <item x="510"/>
        <item x="491"/>
        <item x="857"/>
        <item x="228"/>
        <item x="442"/>
        <item x="547"/>
        <item x="280"/>
        <item x="319"/>
        <item x="279"/>
        <item x="784"/>
        <item x="955"/>
        <item x="773"/>
        <item x="320"/>
        <item x="983"/>
        <item x="643"/>
        <item x="61"/>
        <item x="929"/>
        <item x="443"/>
        <item x="149"/>
        <item x="170"/>
        <item x="437"/>
        <item x="62"/>
        <item x="87"/>
        <item x="644"/>
        <item x="118"/>
        <item x="620"/>
        <item x="545"/>
        <item x="582"/>
        <item x="438"/>
        <item x="90"/>
        <item x="840"/>
        <item x="917"/>
        <item x="372"/>
        <item x="621"/>
        <item x="602"/>
        <item x="962"/>
        <item x="942"/>
        <item x="796"/>
        <item x="257"/>
        <item x="121"/>
        <item x="122"/>
        <item x="795"/>
        <item x="401"/>
        <item x="415"/>
        <item x="478"/>
        <item x="308"/>
        <item x="700"/>
        <item x="940"/>
        <item x="941"/>
        <item x="345"/>
        <item x="736"/>
        <item x="187"/>
        <item x="792"/>
        <item x="178"/>
        <item x="352"/>
        <item x="895"/>
        <item x="201"/>
        <item x="202"/>
        <item x="399"/>
        <item x="63"/>
        <item x="5"/>
        <item x="984"/>
        <item x="179"/>
        <item x="177"/>
        <item x="173"/>
        <item x="68"/>
        <item x="64"/>
        <item x="739"/>
        <item x="785"/>
        <item x="645"/>
        <item x="400"/>
        <item x="923"/>
        <item x="738"/>
        <item x="459"/>
        <item x="930"/>
        <item x="659"/>
        <item x="912"/>
        <item x="710"/>
        <item x="793"/>
        <item x="843"/>
        <item x="426"/>
        <item x="427"/>
        <item x="323"/>
        <item x="924"/>
        <item x="6"/>
        <item x="304"/>
        <item x="305"/>
        <item x="180"/>
        <item x="715"/>
        <item x="735"/>
        <item x="429"/>
        <item x="325"/>
        <item x="981"/>
        <item x="174"/>
        <item x="326"/>
        <item x="611"/>
        <item x="175"/>
        <item x="882"/>
        <item x="204"/>
        <item x="524"/>
        <item x="794"/>
        <item x="780"/>
        <item x="430"/>
        <item x="213"/>
        <item x="140"/>
        <item x="475"/>
        <item x="405"/>
        <item x="435"/>
        <item x="248"/>
        <item x="406"/>
        <item x="708"/>
        <item x="903"/>
        <item x="154"/>
        <item x="186"/>
        <item x="407"/>
        <item x="946"/>
        <item x="980"/>
        <item x="471"/>
        <item x="592"/>
        <item x="521"/>
        <item x="176"/>
        <item x="113"/>
        <item x="883"/>
        <item x="714"/>
        <item x="351"/>
        <item x="322"/>
        <item x="278"/>
        <item x="221"/>
        <item x="870"/>
        <item x="209"/>
        <item x="622"/>
        <item x="195"/>
        <item x="357"/>
        <item x="419"/>
        <item x="328"/>
        <item x="703"/>
        <item x="565"/>
        <item x="434"/>
        <item x="979"/>
        <item x="512"/>
        <item x="569"/>
        <item x="10"/>
        <item x="74"/>
        <item x="665"/>
        <item x="135"/>
        <item x="123"/>
        <item x="146"/>
        <item x="504"/>
        <item x="853"/>
        <item x="756"/>
        <item x="458"/>
        <item x="564"/>
        <item x="610"/>
        <item x="858"/>
        <item x="554"/>
        <item x="253"/>
        <item x="184"/>
        <item x="183"/>
        <item x="688"/>
        <item x="464"/>
        <item x="787"/>
        <item x="748"/>
        <item x="721"/>
        <item x="344"/>
        <item x="3"/>
        <item x="761"/>
        <item x="786"/>
        <item x="664"/>
        <item x="586"/>
        <item x="358"/>
        <item x="789"/>
        <item x="841"/>
        <item x="790"/>
        <item x="728"/>
        <item x="382"/>
        <item x="689"/>
        <item x="141"/>
        <item x="404"/>
        <item x="465"/>
        <item x="72"/>
        <item x="254"/>
        <item x="153"/>
        <item x="11"/>
        <item x="732"/>
        <item x="139"/>
        <item x="597"/>
        <item x="156"/>
        <item x="359"/>
        <item x="876"/>
        <item x="155"/>
        <item x="819"/>
        <item x="261"/>
        <item x="247"/>
        <item x="402"/>
        <item x="623"/>
        <item x="133"/>
        <item x="669"/>
        <item x="567"/>
        <item x="132"/>
        <item x="138"/>
        <item x="874"/>
        <item x="875"/>
        <item x="568"/>
        <item x="403"/>
        <item x="482"/>
        <item x="296"/>
        <item x="260"/>
        <item x="596"/>
        <item x="904"/>
        <item x="432"/>
        <item x="566"/>
        <item x="532"/>
        <item x="297"/>
        <item x="380"/>
        <item x="181"/>
        <item x="182"/>
        <item x="744"/>
        <item x="552"/>
        <item x="528"/>
        <item x="431"/>
        <item x="553"/>
        <item x="252"/>
        <item x="844"/>
        <item x="26"/>
        <item x="846"/>
        <item x="630"/>
        <item x="185"/>
        <item x="746"/>
        <item x="631"/>
        <item x="762"/>
        <item x="747"/>
        <item x="603"/>
        <item x="483"/>
        <item x="821"/>
        <item x="35"/>
        <item x="548"/>
        <item x="466"/>
        <item x="854"/>
        <item x="76"/>
        <item x="759"/>
        <item x="363"/>
        <item x="783"/>
        <item x="227"/>
        <item x="750"/>
        <item x="481"/>
        <item x="758"/>
        <item x="249"/>
        <item x="188"/>
        <item x="612"/>
        <item x="1"/>
        <item x="931"/>
        <item x="619"/>
        <item x="105"/>
        <item x="433"/>
        <item x="77"/>
        <item x="229"/>
        <item x="706"/>
        <item x="760"/>
        <item x="705"/>
        <item x="85"/>
        <item x="454"/>
        <item x="298"/>
        <item x="360"/>
        <item x="66"/>
        <item x="914"/>
        <item x="845"/>
        <item x="574"/>
        <item x="757"/>
        <item x="362"/>
        <item x="826"/>
        <item x="2"/>
        <item x="346"/>
        <item x="381"/>
        <item x="24"/>
        <item x="343"/>
        <item x="743"/>
        <item x="828"/>
        <item x="859"/>
        <item x="23"/>
        <item x="704"/>
        <item x="361"/>
        <item x="871"/>
        <item x="8"/>
        <item x="65"/>
        <item x="42"/>
        <item x="370"/>
        <item x="818"/>
        <item x="782"/>
        <item x="281"/>
        <item x="428"/>
        <item x="449"/>
        <item x="977"/>
        <item x="781"/>
        <item x="872"/>
        <item x="293"/>
        <item x="309"/>
        <item x="591"/>
        <item x="306"/>
        <item x="86"/>
        <item x="307"/>
        <item x="740"/>
        <item x="39"/>
        <item x="992"/>
        <item t="default"/>
      </items>
    </pivotField>
    <pivotField showAll="0"/>
    <pivotField axis="axisCol" showAll="0">
      <items count="9">
        <item x="4"/>
        <item x="0"/>
        <item x="3"/>
        <item x="1"/>
        <item x="5"/>
        <item x="2"/>
        <item x="6"/>
        <item h="1" x="7"/>
        <item t="default"/>
      </items>
    </pivotField>
    <pivotField showAll="0"/>
    <pivotField showAll="0"/>
    <pivotField showAll="0"/>
    <pivotField showAll="0">
      <items count="7">
        <item x="2"/>
        <item x="0"/>
        <item x="4"/>
        <item x="1"/>
        <item x="3"/>
        <item x="5"/>
        <item t="default"/>
      </items>
    </pivotField>
  </pivotFields>
  <rowFields count="1">
    <field x="7"/>
  </rowFields>
  <rowItems count="18">
    <i>
      <x/>
    </i>
    <i>
      <x v="1"/>
    </i>
    <i>
      <x v="2"/>
    </i>
    <i>
      <x v="3"/>
    </i>
    <i>
      <x v="4"/>
    </i>
    <i>
      <x v="5"/>
    </i>
    <i>
      <x v="6"/>
    </i>
    <i>
      <x v="7"/>
    </i>
    <i>
      <x v="8"/>
    </i>
    <i>
      <x v="9"/>
    </i>
    <i>
      <x v="10"/>
    </i>
    <i>
      <x v="11"/>
    </i>
    <i>
      <x v="12"/>
    </i>
    <i>
      <x v="13"/>
    </i>
    <i>
      <x v="14"/>
    </i>
    <i>
      <x v="15"/>
    </i>
    <i>
      <x v="16"/>
    </i>
    <i t="grand">
      <x/>
    </i>
  </rowItems>
  <colFields count="1">
    <field x="10"/>
  </colFields>
  <colItems count="8">
    <i>
      <x/>
    </i>
    <i>
      <x v="1"/>
    </i>
    <i>
      <x v="2"/>
    </i>
    <i>
      <x v="3"/>
    </i>
    <i>
      <x v="4"/>
    </i>
    <i>
      <x v="5"/>
    </i>
    <i>
      <x v="6"/>
    </i>
    <i t="grand">
      <x/>
    </i>
  </colItems>
  <dataFields count="1">
    <dataField name="Sum of UserID_Profile" fld="0" baseField="0" baseItem="0"/>
  </dataFields>
  <formats count="1">
    <format dxfId="34">
      <pivotArea outline="0" collapsedLevelsAreSubtotals="1" fieldPosition="0"/>
    </format>
  </formats>
  <chartFormats count="7">
    <chartFormat chart="35" format="0" series="1">
      <pivotArea type="data" outline="0" fieldPosition="0">
        <references count="2">
          <reference field="4294967294" count="1" selected="0">
            <x v="0"/>
          </reference>
          <reference field="10" count="1" selected="0">
            <x v="0"/>
          </reference>
        </references>
      </pivotArea>
    </chartFormat>
    <chartFormat chart="35" format="1" series="1">
      <pivotArea type="data" outline="0" fieldPosition="0">
        <references count="2">
          <reference field="4294967294" count="1" selected="0">
            <x v="0"/>
          </reference>
          <reference field="10" count="1" selected="0">
            <x v="1"/>
          </reference>
        </references>
      </pivotArea>
    </chartFormat>
    <chartFormat chart="35" format="2" series="1">
      <pivotArea type="data" outline="0" fieldPosition="0">
        <references count="2">
          <reference field="4294967294" count="1" selected="0">
            <x v="0"/>
          </reference>
          <reference field="10" count="1" selected="0">
            <x v="2"/>
          </reference>
        </references>
      </pivotArea>
    </chartFormat>
    <chartFormat chart="35" format="3" series="1">
      <pivotArea type="data" outline="0" fieldPosition="0">
        <references count="2">
          <reference field="4294967294" count="1" selected="0">
            <x v="0"/>
          </reference>
          <reference field="10" count="1" selected="0">
            <x v="3"/>
          </reference>
        </references>
      </pivotArea>
    </chartFormat>
    <chartFormat chart="35" format="4" series="1">
      <pivotArea type="data" outline="0" fieldPosition="0">
        <references count="2">
          <reference field="4294967294" count="1" selected="0">
            <x v="0"/>
          </reference>
          <reference field="10" count="1" selected="0">
            <x v="4"/>
          </reference>
        </references>
      </pivotArea>
    </chartFormat>
    <chartFormat chart="35" format="5" series="1">
      <pivotArea type="data" outline="0" fieldPosition="0">
        <references count="2">
          <reference field="4294967294" count="1" selected="0">
            <x v="0"/>
          </reference>
          <reference field="10" count="1" selected="0">
            <x v="5"/>
          </reference>
        </references>
      </pivotArea>
    </chartFormat>
    <chartFormat chart="35" format="6" series="1">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2FF5F9-99CF-4ECA-86ED-724555A8EB95}" name="PivotTable15"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5">
  <location ref="A124:B132" firstHeaderRow="1" firstDataRow="1" firstDataCol="1"/>
  <pivotFields count="15">
    <pivotField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showAll="0">
      <items count="19">
        <item x="11"/>
        <item x="3"/>
        <item x="9"/>
        <item x="5"/>
        <item x="4"/>
        <item x="12"/>
        <item x="15"/>
        <item x="8"/>
        <item x="1"/>
        <item x="10"/>
        <item x="16"/>
        <item x="14"/>
        <item x="2"/>
        <item x="7"/>
        <item x="6"/>
        <item x="0"/>
        <item x="13"/>
        <item h="1" x="17"/>
        <item t="default"/>
      </items>
    </pivotField>
    <pivotField showAll="0">
      <items count="994">
        <item x="165"/>
        <item x="276"/>
        <item x="813"/>
        <item x="218"/>
        <item x="219"/>
        <item x="163"/>
        <item x="627"/>
        <item x="168"/>
        <item x="271"/>
        <item x="220"/>
        <item x="376"/>
        <item x="807"/>
        <item x="675"/>
        <item x="157"/>
        <item x="161"/>
        <item x="272"/>
        <item x="812"/>
        <item x="268"/>
        <item x="277"/>
        <item x="488"/>
        <item x="776"/>
        <item x="274"/>
        <item x="275"/>
        <item x="148"/>
        <item x="273"/>
        <item x="0"/>
        <item x="489"/>
        <item x="577"/>
        <item x="657"/>
        <item x="109"/>
        <item x="651"/>
        <item x="653"/>
        <item x="674"/>
        <item x="682"/>
        <item x="810"/>
        <item x="283"/>
        <item x="878"/>
        <item x="974"/>
        <item x="767"/>
        <item x="867"/>
        <item x="647"/>
        <item x="535"/>
        <item x="658"/>
        <item x="921"/>
        <item x="768"/>
        <item x="777"/>
        <item x="652"/>
        <item x="654"/>
        <item x="837"/>
        <item x="164"/>
        <item x="190"/>
        <item x="655"/>
        <item x="258"/>
        <item x="259"/>
        <item x="680"/>
        <item x="9"/>
        <item x="835"/>
        <item x="14"/>
        <item x="505"/>
        <item x="628"/>
        <item x="110"/>
        <item x="99"/>
        <item x="656"/>
        <item x="947"/>
        <item x="578"/>
        <item x="690"/>
        <item x="949"/>
        <item x="879"/>
        <item x="952"/>
        <item x="763"/>
        <item x="959"/>
        <item x="827"/>
        <item x="211"/>
        <item x="210"/>
        <item x="59"/>
        <item x="335"/>
        <item x="142"/>
        <item x="809"/>
        <item x="969"/>
        <item x="266"/>
        <item x="333"/>
        <item x="833"/>
        <item x="834"/>
        <item x="873"/>
        <item x="169"/>
        <item x="334"/>
        <item x="966"/>
        <item x="778"/>
        <item x="579"/>
        <item x="629"/>
        <item x="968"/>
        <item x="666"/>
        <item x="635"/>
        <item x="965"/>
        <item x="226"/>
        <item x="668"/>
        <item x="636"/>
        <item x="55"/>
        <item x="976"/>
        <item x="967"/>
        <item x="639"/>
        <item x="670"/>
        <item x="424"/>
        <item x="389"/>
        <item x="836"/>
        <item x="445"/>
        <item x="632"/>
        <item x="537"/>
        <item x="667"/>
        <item x="378"/>
        <item x="97"/>
        <item x="522"/>
        <item x="624"/>
        <item x="145"/>
        <item x="634"/>
        <item x="448"/>
        <item x="101"/>
        <item x="451"/>
        <item x="452"/>
        <item x="869"/>
        <item x="318"/>
        <item x="100"/>
        <item x="321"/>
        <item x="96"/>
        <item x="638"/>
        <item x="526"/>
        <item x="868"/>
        <item x="523"/>
        <item x="692"/>
        <item x="958"/>
        <item x="413"/>
        <item x="371"/>
        <item x="588"/>
        <item x="642"/>
        <item x="269"/>
        <item x="536"/>
        <item x="637"/>
        <item x="377"/>
        <item x="453"/>
        <item x="446"/>
        <item x="379"/>
        <item x="236"/>
        <item x="420"/>
        <item x="580"/>
        <item x="551"/>
        <item x="679"/>
        <item x="678"/>
        <item x="742"/>
        <item x="295"/>
        <item x="60"/>
        <item x="533"/>
        <item x="294"/>
        <item x="534"/>
        <item x="349"/>
        <item x="33"/>
        <item x="525"/>
        <item x="951"/>
        <item x="766"/>
        <item x="196"/>
        <item x="342"/>
        <item x="398"/>
        <item x="350"/>
        <item x="501"/>
        <item x="685"/>
        <item x="865"/>
        <item x="473"/>
        <item x="973"/>
        <item x="972"/>
        <item x="348"/>
        <item x="53"/>
        <item x="347"/>
        <item x="864"/>
        <item x="696"/>
        <item x="587"/>
        <item x="324"/>
        <item x="808"/>
        <item x="267"/>
        <item x="862"/>
        <item x="561"/>
        <item x="282"/>
        <item x="971"/>
        <item x="423"/>
        <item x="975"/>
        <item x="677"/>
        <item x="495"/>
        <item x="590"/>
        <item x="861"/>
        <item x="633"/>
        <item x="499"/>
        <item x="648"/>
        <item x="560"/>
        <item x="676"/>
        <item x="422"/>
        <item x="162"/>
        <item x="866"/>
        <item x="559"/>
        <item x="960"/>
        <item x="447"/>
        <item x="950"/>
        <item x="49"/>
        <item x="860"/>
        <item x="550"/>
        <item x="589"/>
        <item x="493"/>
        <item x="496"/>
        <item x="485"/>
        <item x="771"/>
        <item x="444"/>
        <item x="486"/>
        <item x="500"/>
        <item x="948"/>
        <item x="143"/>
        <item x="474"/>
        <item x="863"/>
        <item x="48"/>
        <item x="107"/>
        <item x="709"/>
        <item x="725"/>
        <item x="724"/>
        <item x="300"/>
        <item x="964"/>
        <item x="671"/>
        <item x="45"/>
        <item x="672"/>
        <item x="770"/>
        <item x="4"/>
        <item x="723"/>
        <item x="804"/>
        <item x="838"/>
        <item x="956"/>
        <item x="684"/>
        <item x="7"/>
        <item x="753"/>
        <item x="754"/>
        <item x="270"/>
        <item x="144"/>
        <item x="772"/>
        <item x="934"/>
        <item x="106"/>
        <item x="32"/>
        <item x="765"/>
        <item x="673"/>
        <item x="440"/>
        <item x="557"/>
        <item x="262"/>
        <item x="15"/>
        <item x="797"/>
        <item x="134"/>
        <item x="694"/>
        <item x="497"/>
        <item x="314"/>
        <item x="125"/>
        <item x="408"/>
        <item x="126"/>
        <item x="250"/>
        <item x="562"/>
        <item x="718"/>
        <item x="498"/>
        <item x="385"/>
        <item x="388"/>
        <item x="136"/>
        <item x="137"/>
        <item x="823"/>
        <item x="546"/>
        <item x="222"/>
        <item x="127"/>
        <item x="695"/>
        <item x="987"/>
        <item x="340"/>
        <item x="484"/>
        <item x="494"/>
        <item x="970"/>
        <item x="341"/>
        <item x="92"/>
        <item x="729"/>
        <item x="842"/>
        <item x="839"/>
        <item x="330"/>
        <item x="691"/>
        <item x="316"/>
        <item x="686"/>
        <item x="583"/>
        <item x="986"/>
        <item x="208"/>
        <item x="203"/>
        <item x="375"/>
        <item x="197"/>
        <item x="374"/>
        <item x="985"/>
        <item x="329"/>
        <item x="317"/>
        <item x="95"/>
        <item x="991"/>
        <item x="112"/>
        <item x="887"/>
        <item x="573"/>
        <item x="166"/>
        <item x="129"/>
        <item x="817"/>
        <item x="576"/>
        <item x="811"/>
        <item x="822"/>
        <item x="450"/>
        <item x="206"/>
        <item x="511"/>
        <item x="788"/>
        <item x="982"/>
        <item x="462"/>
        <item x="463"/>
        <item x="392"/>
        <item x="56"/>
        <item x="235"/>
        <item x="988"/>
        <item x="614"/>
        <item x="769"/>
        <item x="233"/>
        <item x="832"/>
        <item x="529"/>
        <item x="802"/>
        <item x="418"/>
        <item x="207"/>
        <item x="722"/>
        <item x="264"/>
        <item x="829"/>
        <item x="830"/>
        <item x="13"/>
        <item x="799"/>
        <item x="571"/>
        <item x="231"/>
        <item x="311"/>
        <item x="390"/>
        <item x="502"/>
        <item x="531"/>
        <item x="570"/>
        <item x="503"/>
        <item x="530"/>
        <item x="303"/>
        <item x="38"/>
        <item x="575"/>
        <item x="527"/>
        <item x="198"/>
        <item x="242"/>
        <item x="897"/>
        <item x="239"/>
        <item x="898"/>
        <item x="313"/>
        <item x="243"/>
        <item x="310"/>
        <item x="615"/>
        <item x="147"/>
        <item x="47"/>
        <item x="238"/>
        <item x="237"/>
        <item x="199"/>
        <item x="244"/>
        <item x="339"/>
        <item x="926"/>
        <item x="111"/>
        <item x="730"/>
        <item x="816"/>
        <item x="397"/>
        <item x="711"/>
        <item x="556"/>
        <item x="892"/>
        <item x="893"/>
        <item x="487"/>
        <item x="43"/>
        <item x="831"/>
        <item x="549"/>
        <item x="851"/>
        <item x="469"/>
        <item x="18"/>
        <item x="751"/>
        <item x="541"/>
        <item x="396"/>
        <item x="889"/>
        <item x="697"/>
        <item x="698"/>
        <item x="699"/>
        <item x="470"/>
        <item x="764"/>
        <item x="572"/>
        <item x="19"/>
        <item x="383"/>
        <item x="384"/>
        <item x="584"/>
        <item x="888"/>
        <item x="301"/>
        <item x="555"/>
        <item x="538"/>
        <item x="16"/>
        <item x="230"/>
        <item x="890"/>
        <item x="891"/>
        <item x="954"/>
        <item x="800"/>
        <item x="801"/>
        <item x="848"/>
        <item x="847"/>
        <item x="661"/>
        <item x="662"/>
        <item x="285"/>
        <item x="409"/>
        <item x="240"/>
        <item x="539"/>
        <item x="925"/>
        <item x="410"/>
        <item x="98"/>
        <item x="286"/>
        <item x="411"/>
        <item x="412"/>
        <item x="44"/>
        <item x="660"/>
        <item x="663"/>
        <item x="953"/>
        <item x="455"/>
        <item x="906"/>
        <item x="17"/>
        <item x="288"/>
        <item x="803"/>
        <item x="886"/>
        <item x="284"/>
        <item x="907"/>
        <item x="908"/>
        <item x="37"/>
        <item x="417"/>
        <item x="540"/>
        <item x="712"/>
        <item x="927"/>
        <item x="885"/>
        <item x="78"/>
        <item x="302"/>
        <item x="646"/>
        <item x="905"/>
        <item x="386"/>
        <item x="936"/>
        <item x="327"/>
        <item x="205"/>
        <item x="626"/>
        <item x="84"/>
        <item x="719"/>
        <item x="720"/>
        <item x="563"/>
        <item x="849"/>
        <item x="82"/>
        <item x="558"/>
        <item x="416"/>
        <item x="200"/>
        <item x="265"/>
        <item x="290"/>
        <item x="81"/>
        <item x="312"/>
        <item x="353"/>
        <item x="752"/>
        <item x="151"/>
        <item x="289"/>
        <item x="354"/>
        <item x="472"/>
        <item x="46"/>
        <item x="805"/>
        <item x="543"/>
        <item x="75"/>
        <item x="542"/>
        <item x="616"/>
        <item x="791"/>
        <item x="935"/>
        <item x="855"/>
        <item x="30"/>
        <item x="581"/>
        <item x="29"/>
        <item x="152"/>
        <item x="479"/>
        <item x="909"/>
        <item x="798"/>
        <item x="393"/>
        <item x="456"/>
        <item x="263"/>
        <item x="457"/>
        <item x="394"/>
        <item x="89"/>
        <item x="850"/>
        <item x="910"/>
        <item x="366"/>
        <item x="367"/>
        <item x="900"/>
        <item x="961"/>
        <item x="355"/>
        <item x="594"/>
        <item x="223"/>
        <item x="585"/>
        <item x="544"/>
        <item x="214"/>
        <item x="215"/>
        <item x="216"/>
        <item x="395"/>
        <item x="83"/>
        <item x="775"/>
        <item x="21"/>
        <item x="939"/>
        <item x="683"/>
        <item x="731"/>
        <item x="108"/>
        <item x="824"/>
        <item x="12"/>
        <item x="625"/>
        <item x="460"/>
        <item x="595"/>
        <item x="978"/>
        <item x="825"/>
        <item x="518"/>
        <item x="54"/>
        <item x="22"/>
        <item x="167"/>
        <item x="20"/>
        <item x="877"/>
        <item x="641"/>
        <item x="369"/>
        <item x="225"/>
        <item x="913"/>
        <item x="820"/>
        <item x="57"/>
        <item x="650"/>
        <item x="192"/>
        <item x="191"/>
        <item x="373"/>
        <item x="461"/>
        <item x="291"/>
        <item x="520"/>
        <item x="189"/>
        <item x="963"/>
        <item x="441"/>
        <item x="58"/>
        <item x="27"/>
        <item x="287"/>
        <item x="79"/>
        <item x="232"/>
        <item x="73"/>
        <item x="911"/>
        <item x="701"/>
        <item x="50"/>
        <item x="937"/>
        <item x="356"/>
        <item x="193"/>
        <item x="194"/>
        <item x="737"/>
        <item x="246"/>
        <item x="649"/>
        <item x="944"/>
        <item x="945"/>
        <item x="640"/>
        <item x="217"/>
        <item x="331"/>
        <item x="918"/>
        <item x="255"/>
        <item x="749"/>
        <item x="919"/>
        <item x="745"/>
        <item x="467"/>
        <item x="241"/>
        <item x="707"/>
        <item x="515"/>
        <item x="514"/>
        <item x="916"/>
        <item x="938"/>
        <item x="605"/>
        <item x="606"/>
        <item x="490"/>
        <item x="31"/>
        <item x="607"/>
        <item x="932"/>
        <item x="920"/>
        <item x="716"/>
        <item x="717"/>
        <item x="681"/>
        <item x="618"/>
        <item x="734"/>
        <item x="896"/>
        <item x="608"/>
        <item x="421"/>
        <item x="814"/>
        <item x="922"/>
        <item x="884"/>
        <item x="856"/>
        <item x="601"/>
        <item x="516"/>
        <item x="414"/>
        <item x="733"/>
        <item x="158"/>
        <item x="815"/>
        <item x="517"/>
        <item x="593"/>
        <item x="212"/>
        <item x="114"/>
        <item x="292"/>
        <item x="852"/>
        <item x="468"/>
        <item x="609"/>
        <item x="102"/>
        <item x="368"/>
        <item x="88"/>
        <item x="103"/>
        <item x="104"/>
        <item x="160"/>
        <item x="315"/>
        <item x="115"/>
        <item x="159"/>
        <item x="172"/>
        <item x="702"/>
        <item x="727"/>
        <item x="128"/>
        <item x="713"/>
        <item x="130"/>
        <item x="131"/>
        <item x="245"/>
        <item x="617"/>
        <item x="28"/>
        <item x="899"/>
        <item x="774"/>
        <item x="598"/>
        <item x="989"/>
        <item x="599"/>
        <item x="600"/>
        <item x="693"/>
        <item x="251"/>
        <item x="224"/>
        <item x="425"/>
        <item x="150"/>
        <item x="506"/>
        <item x="34"/>
        <item x="741"/>
        <item x="990"/>
        <item x="933"/>
        <item x="480"/>
        <item x="806"/>
        <item x="67"/>
        <item x="726"/>
        <item x="299"/>
        <item x="51"/>
        <item x="332"/>
        <item x="894"/>
        <item x="476"/>
        <item x="52"/>
        <item x="256"/>
        <item x="336"/>
        <item x="171"/>
        <item x="41"/>
        <item x="364"/>
        <item x="116"/>
        <item x="477"/>
        <item x="234"/>
        <item x="25"/>
        <item x="519"/>
        <item x="71"/>
        <item x="755"/>
        <item x="604"/>
        <item x="943"/>
        <item x="881"/>
        <item x="928"/>
        <item x="117"/>
        <item x="492"/>
        <item x="93"/>
        <item x="337"/>
        <item x="338"/>
        <item x="94"/>
        <item x="391"/>
        <item x="36"/>
        <item x="915"/>
        <item x="957"/>
        <item x="507"/>
        <item x="687"/>
        <item x="80"/>
        <item x="513"/>
        <item x="124"/>
        <item x="387"/>
        <item x="779"/>
        <item x="365"/>
        <item x="508"/>
        <item x="40"/>
        <item x="613"/>
        <item x="69"/>
        <item x="70"/>
        <item x="901"/>
        <item x="119"/>
        <item x="120"/>
        <item x="880"/>
        <item x="91"/>
        <item x="436"/>
        <item x="439"/>
        <item x="902"/>
        <item x="509"/>
        <item x="510"/>
        <item x="491"/>
        <item x="857"/>
        <item x="228"/>
        <item x="442"/>
        <item x="547"/>
        <item x="280"/>
        <item x="319"/>
        <item x="279"/>
        <item x="784"/>
        <item x="955"/>
        <item x="773"/>
        <item x="320"/>
        <item x="983"/>
        <item x="643"/>
        <item x="61"/>
        <item x="929"/>
        <item x="443"/>
        <item x="149"/>
        <item x="170"/>
        <item x="437"/>
        <item x="62"/>
        <item x="87"/>
        <item x="644"/>
        <item x="118"/>
        <item x="620"/>
        <item x="545"/>
        <item x="582"/>
        <item x="438"/>
        <item x="90"/>
        <item x="840"/>
        <item x="917"/>
        <item x="372"/>
        <item x="621"/>
        <item x="602"/>
        <item x="962"/>
        <item x="942"/>
        <item x="796"/>
        <item x="257"/>
        <item x="121"/>
        <item x="122"/>
        <item x="795"/>
        <item x="401"/>
        <item x="415"/>
        <item x="478"/>
        <item x="308"/>
        <item x="700"/>
        <item x="940"/>
        <item x="941"/>
        <item x="345"/>
        <item x="736"/>
        <item x="187"/>
        <item x="792"/>
        <item x="178"/>
        <item x="352"/>
        <item x="895"/>
        <item x="201"/>
        <item x="202"/>
        <item x="399"/>
        <item x="63"/>
        <item x="5"/>
        <item x="984"/>
        <item x="179"/>
        <item x="177"/>
        <item x="173"/>
        <item x="68"/>
        <item x="64"/>
        <item x="739"/>
        <item x="785"/>
        <item x="645"/>
        <item x="400"/>
        <item x="923"/>
        <item x="738"/>
        <item x="459"/>
        <item x="930"/>
        <item x="659"/>
        <item x="912"/>
        <item x="710"/>
        <item x="793"/>
        <item x="843"/>
        <item x="426"/>
        <item x="427"/>
        <item x="323"/>
        <item x="924"/>
        <item x="6"/>
        <item x="304"/>
        <item x="305"/>
        <item x="180"/>
        <item x="715"/>
        <item x="735"/>
        <item x="429"/>
        <item x="325"/>
        <item x="981"/>
        <item x="174"/>
        <item x="326"/>
        <item x="611"/>
        <item x="175"/>
        <item x="882"/>
        <item x="204"/>
        <item x="524"/>
        <item x="794"/>
        <item x="780"/>
        <item x="430"/>
        <item x="213"/>
        <item x="140"/>
        <item x="475"/>
        <item x="405"/>
        <item x="435"/>
        <item x="248"/>
        <item x="406"/>
        <item x="708"/>
        <item x="903"/>
        <item x="154"/>
        <item x="186"/>
        <item x="407"/>
        <item x="946"/>
        <item x="980"/>
        <item x="471"/>
        <item x="592"/>
        <item x="521"/>
        <item x="176"/>
        <item x="113"/>
        <item x="883"/>
        <item x="714"/>
        <item x="351"/>
        <item x="322"/>
        <item x="278"/>
        <item x="221"/>
        <item x="870"/>
        <item x="209"/>
        <item x="622"/>
        <item x="195"/>
        <item x="357"/>
        <item x="419"/>
        <item x="328"/>
        <item x="703"/>
        <item x="565"/>
        <item x="434"/>
        <item x="979"/>
        <item x="512"/>
        <item x="569"/>
        <item x="10"/>
        <item x="74"/>
        <item x="665"/>
        <item x="135"/>
        <item x="123"/>
        <item x="146"/>
        <item x="504"/>
        <item x="853"/>
        <item x="756"/>
        <item x="458"/>
        <item x="564"/>
        <item x="610"/>
        <item x="858"/>
        <item x="554"/>
        <item x="253"/>
        <item x="184"/>
        <item x="183"/>
        <item x="688"/>
        <item x="464"/>
        <item x="787"/>
        <item x="748"/>
        <item x="721"/>
        <item x="344"/>
        <item x="3"/>
        <item x="761"/>
        <item x="786"/>
        <item x="664"/>
        <item x="586"/>
        <item x="358"/>
        <item x="789"/>
        <item x="841"/>
        <item x="790"/>
        <item x="728"/>
        <item x="382"/>
        <item x="689"/>
        <item x="141"/>
        <item x="404"/>
        <item x="465"/>
        <item x="72"/>
        <item x="254"/>
        <item x="153"/>
        <item x="11"/>
        <item x="732"/>
        <item x="139"/>
        <item x="597"/>
        <item x="156"/>
        <item x="359"/>
        <item x="876"/>
        <item x="155"/>
        <item x="819"/>
        <item x="261"/>
        <item x="247"/>
        <item x="402"/>
        <item x="623"/>
        <item x="133"/>
        <item x="669"/>
        <item x="567"/>
        <item x="132"/>
        <item x="138"/>
        <item x="874"/>
        <item x="875"/>
        <item x="568"/>
        <item x="403"/>
        <item x="482"/>
        <item x="296"/>
        <item x="260"/>
        <item x="596"/>
        <item x="904"/>
        <item x="432"/>
        <item x="566"/>
        <item x="532"/>
        <item x="297"/>
        <item x="380"/>
        <item x="181"/>
        <item x="182"/>
        <item x="744"/>
        <item x="552"/>
        <item x="528"/>
        <item x="431"/>
        <item x="553"/>
        <item x="252"/>
        <item x="844"/>
        <item x="26"/>
        <item x="846"/>
        <item x="630"/>
        <item x="185"/>
        <item x="746"/>
        <item x="631"/>
        <item x="762"/>
        <item x="747"/>
        <item x="603"/>
        <item x="483"/>
        <item x="821"/>
        <item x="35"/>
        <item x="548"/>
        <item x="466"/>
        <item x="854"/>
        <item x="76"/>
        <item x="759"/>
        <item x="363"/>
        <item x="783"/>
        <item x="227"/>
        <item x="750"/>
        <item x="481"/>
        <item x="758"/>
        <item x="249"/>
        <item x="188"/>
        <item x="612"/>
        <item x="1"/>
        <item x="931"/>
        <item x="619"/>
        <item x="105"/>
        <item x="433"/>
        <item x="77"/>
        <item x="229"/>
        <item x="706"/>
        <item x="760"/>
        <item x="705"/>
        <item x="85"/>
        <item x="454"/>
        <item x="298"/>
        <item x="360"/>
        <item x="66"/>
        <item x="914"/>
        <item x="845"/>
        <item x="574"/>
        <item x="757"/>
        <item x="362"/>
        <item x="826"/>
        <item x="2"/>
        <item x="346"/>
        <item x="381"/>
        <item x="24"/>
        <item x="343"/>
        <item x="743"/>
        <item x="828"/>
        <item x="859"/>
        <item x="23"/>
        <item x="704"/>
        <item x="361"/>
        <item x="871"/>
        <item x="8"/>
        <item x="65"/>
        <item x="42"/>
        <item x="370"/>
        <item x="818"/>
        <item x="782"/>
        <item x="281"/>
        <item x="428"/>
        <item x="449"/>
        <item x="977"/>
        <item x="781"/>
        <item x="872"/>
        <item x="293"/>
        <item x="309"/>
        <item x="591"/>
        <item x="306"/>
        <item x="86"/>
        <item x="307"/>
        <item x="740"/>
        <item x="39"/>
        <item x="992"/>
        <item t="default"/>
      </items>
    </pivotField>
    <pivotField dataField="1" showAll="0"/>
    <pivotField axis="axisRow" showAll="0">
      <items count="9">
        <item x="4"/>
        <item x="0"/>
        <item x="3"/>
        <item x="1"/>
        <item x="5"/>
        <item x="2"/>
        <item x="6"/>
        <item h="1" x="7"/>
        <item t="default"/>
      </items>
    </pivotField>
    <pivotField showAll="0"/>
    <pivotField showAll="0"/>
    <pivotField showAll="0"/>
    <pivotField showAll="0">
      <items count="7">
        <item x="2"/>
        <item x="0"/>
        <item x="4"/>
        <item x="1"/>
        <item x="3"/>
        <item x="5"/>
        <item t="default"/>
      </items>
    </pivotField>
  </pivotFields>
  <rowFields count="1">
    <field x="10"/>
  </rowFields>
  <rowItems count="8">
    <i>
      <x/>
    </i>
    <i>
      <x v="1"/>
    </i>
    <i>
      <x v="2"/>
    </i>
    <i>
      <x v="3"/>
    </i>
    <i>
      <x v="4"/>
    </i>
    <i>
      <x v="5"/>
    </i>
    <i>
      <x v="6"/>
    </i>
    <i t="grand">
      <x/>
    </i>
  </rowItems>
  <colItems count="1">
    <i/>
  </colItems>
  <dataFields count="1">
    <dataField name="Sum of HourOfDay" fld="9" baseField="0" baseItem="0"/>
  </dataFields>
  <formats count="1">
    <format dxfId="36">
      <pivotArea outline="0" collapsedLevelsAreSubtotals="1" fieldPosition="0"/>
    </format>
  </formats>
  <chartFormats count="9">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10" count="1" selected="0">
            <x v="0"/>
          </reference>
        </references>
      </pivotArea>
    </chartFormat>
    <chartFormat chart="25" format="2">
      <pivotArea type="data" outline="0" fieldPosition="0">
        <references count="2">
          <reference field="4294967294" count="1" selected="0">
            <x v="0"/>
          </reference>
          <reference field="10" count="1" selected="0">
            <x v="1"/>
          </reference>
        </references>
      </pivotArea>
    </chartFormat>
    <chartFormat chart="25" format="3">
      <pivotArea type="data" outline="0" fieldPosition="0">
        <references count="2">
          <reference field="4294967294" count="1" selected="0">
            <x v="0"/>
          </reference>
          <reference field="10" count="1" selected="0">
            <x v="2"/>
          </reference>
        </references>
      </pivotArea>
    </chartFormat>
    <chartFormat chart="25" format="4">
      <pivotArea type="data" outline="0" fieldPosition="0">
        <references count="2">
          <reference field="4294967294" count="1" selected="0">
            <x v="0"/>
          </reference>
          <reference field="10" count="1" selected="0">
            <x v="3"/>
          </reference>
        </references>
      </pivotArea>
    </chartFormat>
    <chartFormat chart="25" format="5">
      <pivotArea type="data" outline="0" fieldPosition="0">
        <references count="2">
          <reference field="4294967294" count="1" selected="0">
            <x v="0"/>
          </reference>
          <reference field="10" count="1" selected="0">
            <x v="4"/>
          </reference>
        </references>
      </pivotArea>
    </chartFormat>
    <chartFormat chart="25" format="6">
      <pivotArea type="data" outline="0" fieldPosition="0">
        <references count="2">
          <reference field="4294967294" count="1" selected="0">
            <x v="0"/>
          </reference>
          <reference field="10" count="1" selected="0">
            <x v="5"/>
          </reference>
        </references>
      </pivotArea>
    </chartFormat>
    <chartFormat chart="25" format="7">
      <pivotArea type="data" outline="0" fieldPosition="0">
        <references count="2">
          <reference field="4294967294" count="1" selected="0">
            <x v="0"/>
          </reference>
          <reference field="10" count="1" selected="0">
            <x v="6"/>
          </reference>
        </references>
      </pivotArea>
    </chartFormat>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1BA4F7-3BF9-43FC-A76B-4B4BD92D5A18}"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10:H122" firstHeaderRow="1" firstDataRow="2" firstDataCol="1"/>
  <pivotFields count="15">
    <pivotField dataField="1" showAll="0"/>
    <pivotField showAll="0">
      <items count="5">
        <item x="2"/>
        <item x="0"/>
        <item x="1"/>
        <item n="Null" h="1" x="3"/>
        <item t="default"/>
      </items>
    </pivotField>
    <pivotField axis="axisCol" showAll="0">
      <items count="9">
        <item h="1" x="6"/>
        <item x="4"/>
        <item x="0"/>
        <item x="2"/>
        <item x="1"/>
        <item x="5"/>
        <item x="3"/>
        <item h="1" x="7"/>
        <item t="default"/>
      </items>
    </pivotField>
    <pivotField showAll="0"/>
    <pivotField axis="axisRow" showAll="0" sortType="descending">
      <items count="12">
        <item x="3"/>
        <item x="7"/>
        <item x="2"/>
        <item x="4"/>
        <item x="6"/>
        <item x="5"/>
        <item x="1"/>
        <item x="8"/>
        <item x="9"/>
        <item x="0"/>
        <item h="1"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4"/>
  </rowFields>
  <rowItems count="11">
    <i>
      <x v="2"/>
    </i>
    <i>
      <x v="9"/>
    </i>
    <i>
      <x v="3"/>
    </i>
    <i>
      <x v="5"/>
    </i>
    <i>
      <x v="4"/>
    </i>
    <i>
      <x/>
    </i>
    <i>
      <x v="1"/>
    </i>
    <i>
      <x v="7"/>
    </i>
    <i>
      <x v="6"/>
    </i>
    <i>
      <x v="8"/>
    </i>
    <i t="grand">
      <x/>
    </i>
  </rowItems>
  <colFields count="1">
    <field x="2"/>
  </colFields>
  <colItems count="7">
    <i>
      <x v="1"/>
    </i>
    <i>
      <x v="2"/>
    </i>
    <i>
      <x v="3"/>
    </i>
    <i>
      <x v="4"/>
    </i>
    <i>
      <x v="5"/>
    </i>
    <i>
      <x v="6"/>
    </i>
    <i t="grand">
      <x/>
    </i>
  </colItems>
  <dataFields count="1">
    <dataField name="Sum of UserID_Profile" fld="0" baseField="0" baseItem="0" numFmtId="3"/>
  </dataFields>
  <formats count="1">
    <format dxfId="37">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12BC8D-0F57-4BD0-B9C6-283D9989CAAA}"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96:B102" firstHeaderRow="1" firstDataRow="1" firstDataCol="1"/>
  <pivotFields count="15">
    <pivotField dataField="1"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showAll="0">
      <items count="19">
        <item x="11"/>
        <item x="3"/>
        <item x="9"/>
        <item x="5"/>
        <item x="4"/>
        <item x="12"/>
        <item x="15"/>
        <item x="8"/>
        <item x="1"/>
        <item x="10"/>
        <item x="16"/>
        <item x="14"/>
        <item x="2"/>
        <item x="7"/>
        <item x="6"/>
        <item x="0"/>
        <item x="13"/>
        <item h="1" x="17"/>
        <item t="default"/>
      </items>
    </pivotField>
    <pivotField showAll="0">
      <items count="994">
        <item x="165"/>
        <item x="276"/>
        <item x="813"/>
        <item x="218"/>
        <item x="219"/>
        <item x="163"/>
        <item x="627"/>
        <item x="168"/>
        <item x="271"/>
        <item x="220"/>
        <item x="376"/>
        <item x="807"/>
        <item x="675"/>
        <item x="157"/>
        <item x="161"/>
        <item x="272"/>
        <item x="812"/>
        <item x="268"/>
        <item x="277"/>
        <item x="488"/>
        <item x="776"/>
        <item x="274"/>
        <item x="275"/>
        <item x="148"/>
        <item x="273"/>
        <item x="0"/>
        <item x="489"/>
        <item x="577"/>
        <item x="657"/>
        <item x="109"/>
        <item x="651"/>
        <item x="653"/>
        <item x="674"/>
        <item x="682"/>
        <item x="810"/>
        <item x="283"/>
        <item x="878"/>
        <item x="974"/>
        <item x="767"/>
        <item x="867"/>
        <item x="647"/>
        <item x="535"/>
        <item x="658"/>
        <item x="921"/>
        <item x="768"/>
        <item x="777"/>
        <item x="652"/>
        <item x="654"/>
        <item x="837"/>
        <item x="164"/>
        <item x="190"/>
        <item x="655"/>
        <item x="258"/>
        <item x="259"/>
        <item x="680"/>
        <item x="9"/>
        <item x="835"/>
        <item x="14"/>
        <item x="505"/>
        <item x="628"/>
        <item x="110"/>
        <item x="99"/>
        <item x="656"/>
        <item x="947"/>
        <item x="578"/>
        <item x="690"/>
        <item x="949"/>
        <item x="879"/>
        <item x="952"/>
        <item x="763"/>
        <item x="959"/>
        <item x="827"/>
        <item x="211"/>
        <item x="210"/>
        <item x="59"/>
        <item x="335"/>
        <item x="142"/>
        <item x="809"/>
        <item x="969"/>
        <item x="266"/>
        <item x="333"/>
        <item x="833"/>
        <item x="834"/>
        <item x="873"/>
        <item x="169"/>
        <item x="334"/>
        <item x="966"/>
        <item x="778"/>
        <item x="579"/>
        <item x="629"/>
        <item x="968"/>
        <item x="666"/>
        <item x="635"/>
        <item x="965"/>
        <item x="226"/>
        <item x="668"/>
        <item x="636"/>
        <item x="55"/>
        <item x="976"/>
        <item x="967"/>
        <item x="639"/>
        <item x="670"/>
        <item x="424"/>
        <item x="389"/>
        <item x="836"/>
        <item x="445"/>
        <item x="632"/>
        <item x="537"/>
        <item x="667"/>
        <item x="378"/>
        <item x="97"/>
        <item x="522"/>
        <item x="624"/>
        <item x="145"/>
        <item x="634"/>
        <item x="448"/>
        <item x="101"/>
        <item x="451"/>
        <item x="452"/>
        <item x="869"/>
        <item x="318"/>
        <item x="100"/>
        <item x="321"/>
        <item x="96"/>
        <item x="638"/>
        <item x="526"/>
        <item x="868"/>
        <item x="523"/>
        <item x="692"/>
        <item x="958"/>
        <item x="413"/>
        <item x="371"/>
        <item x="588"/>
        <item x="642"/>
        <item x="269"/>
        <item x="536"/>
        <item x="637"/>
        <item x="377"/>
        <item x="453"/>
        <item x="446"/>
        <item x="379"/>
        <item x="236"/>
        <item x="420"/>
        <item x="580"/>
        <item x="551"/>
        <item x="679"/>
        <item x="678"/>
        <item x="742"/>
        <item x="295"/>
        <item x="60"/>
        <item x="533"/>
        <item x="294"/>
        <item x="534"/>
        <item x="349"/>
        <item x="33"/>
        <item x="525"/>
        <item x="951"/>
        <item x="766"/>
        <item x="196"/>
        <item x="342"/>
        <item x="398"/>
        <item x="350"/>
        <item x="501"/>
        <item x="685"/>
        <item x="865"/>
        <item x="473"/>
        <item x="973"/>
        <item x="972"/>
        <item x="348"/>
        <item x="53"/>
        <item x="347"/>
        <item x="864"/>
        <item x="696"/>
        <item x="587"/>
        <item x="324"/>
        <item x="808"/>
        <item x="267"/>
        <item x="862"/>
        <item x="561"/>
        <item x="282"/>
        <item x="971"/>
        <item x="423"/>
        <item x="975"/>
        <item x="677"/>
        <item x="495"/>
        <item x="590"/>
        <item x="861"/>
        <item x="633"/>
        <item x="499"/>
        <item x="648"/>
        <item x="560"/>
        <item x="676"/>
        <item x="422"/>
        <item x="162"/>
        <item x="866"/>
        <item x="559"/>
        <item x="960"/>
        <item x="447"/>
        <item x="950"/>
        <item x="49"/>
        <item x="860"/>
        <item x="550"/>
        <item x="589"/>
        <item x="493"/>
        <item x="496"/>
        <item x="485"/>
        <item x="771"/>
        <item x="444"/>
        <item x="486"/>
        <item x="500"/>
        <item x="948"/>
        <item x="143"/>
        <item x="474"/>
        <item x="863"/>
        <item x="48"/>
        <item x="107"/>
        <item x="709"/>
        <item x="725"/>
        <item x="724"/>
        <item x="300"/>
        <item x="964"/>
        <item x="671"/>
        <item x="45"/>
        <item x="672"/>
        <item x="770"/>
        <item x="4"/>
        <item x="723"/>
        <item x="804"/>
        <item x="838"/>
        <item x="956"/>
        <item x="684"/>
        <item x="7"/>
        <item x="753"/>
        <item x="754"/>
        <item x="270"/>
        <item x="144"/>
        <item x="772"/>
        <item x="934"/>
        <item x="106"/>
        <item x="32"/>
        <item x="765"/>
        <item x="673"/>
        <item x="440"/>
        <item x="557"/>
        <item x="262"/>
        <item x="15"/>
        <item x="797"/>
        <item x="134"/>
        <item x="694"/>
        <item x="497"/>
        <item x="314"/>
        <item x="125"/>
        <item x="408"/>
        <item x="126"/>
        <item x="250"/>
        <item x="562"/>
        <item x="718"/>
        <item x="498"/>
        <item x="385"/>
        <item x="388"/>
        <item x="136"/>
        <item x="137"/>
        <item x="823"/>
        <item x="546"/>
        <item x="222"/>
        <item x="127"/>
        <item x="695"/>
        <item x="987"/>
        <item x="340"/>
        <item x="484"/>
        <item x="494"/>
        <item x="970"/>
        <item x="341"/>
        <item x="92"/>
        <item x="729"/>
        <item x="842"/>
        <item x="839"/>
        <item x="330"/>
        <item x="691"/>
        <item x="316"/>
        <item x="686"/>
        <item x="583"/>
        <item x="986"/>
        <item x="208"/>
        <item x="203"/>
        <item x="375"/>
        <item x="197"/>
        <item x="374"/>
        <item x="985"/>
        <item x="329"/>
        <item x="317"/>
        <item x="95"/>
        <item x="991"/>
        <item x="112"/>
        <item x="887"/>
        <item x="573"/>
        <item x="166"/>
        <item x="129"/>
        <item x="817"/>
        <item x="576"/>
        <item x="811"/>
        <item x="822"/>
        <item x="450"/>
        <item x="206"/>
        <item x="511"/>
        <item x="788"/>
        <item x="982"/>
        <item x="462"/>
        <item x="463"/>
        <item x="392"/>
        <item x="56"/>
        <item x="235"/>
        <item x="988"/>
        <item x="614"/>
        <item x="769"/>
        <item x="233"/>
        <item x="832"/>
        <item x="529"/>
        <item x="802"/>
        <item x="418"/>
        <item x="207"/>
        <item x="722"/>
        <item x="264"/>
        <item x="829"/>
        <item x="830"/>
        <item x="13"/>
        <item x="799"/>
        <item x="571"/>
        <item x="231"/>
        <item x="311"/>
        <item x="390"/>
        <item x="502"/>
        <item x="531"/>
        <item x="570"/>
        <item x="503"/>
        <item x="530"/>
        <item x="303"/>
        <item x="38"/>
        <item x="575"/>
        <item x="527"/>
        <item x="198"/>
        <item x="242"/>
        <item x="897"/>
        <item x="239"/>
        <item x="898"/>
        <item x="313"/>
        <item x="243"/>
        <item x="310"/>
        <item x="615"/>
        <item x="147"/>
        <item x="47"/>
        <item x="238"/>
        <item x="237"/>
        <item x="199"/>
        <item x="244"/>
        <item x="339"/>
        <item x="926"/>
        <item x="111"/>
        <item x="730"/>
        <item x="816"/>
        <item x="397"/>
        <item x="711"/>
        <item x="556"/>
        <item x="892"/>
        <item x="893"/>
        <item x="487"/>
        <item x="43"/>
        <item x="831"/>
        <item x="549"/>
        <item x="851"/>
        <item x="469"/>
        <item x="18"/>
        <item x="751"/>
        <item x="541"/>
        <item x="396"/>
        <item x="889"/>
        <item x="697"/>
        <item x="698"/>
        <item x="699"/>
        <item x="470"/>
        <item x="764"/>
        <item x="572"/>
        <item x="19"/>
        <item x="383"/>
        <item x="384"/>
        <item x="584"/>
        <item x="888"/>
        <item x="301"/>
        <item x="555"/>
        <item x="538"/>
        <item x="16"/>
        <item x="230"/>
        <item x="890"/>
        <item x="891"/>
        <item x="954"/>
        <item x="800"/>
        <item x="801"/>
        <item x="848"/>
        <item x="847"/>
        <item x="661"/>
        <item x="662"/>
        <item x="285"/>
        <item x="409"/>
        <item x="240"/>
        <item x="539"/>
        <item x="925"/>
        <item x="410"/>
        <item x="98"/>
        <item x="286"/>
        <item x="411"/>
        <item x="412"/>
        <item x="44"/>
        <item x="660"/>
        <item x="663"/>
        <item x="953"/>
        <item x="455"/>
        <item x="906"/>
        <item x="17"/>
        <item x="288"/>
        <item x="803"/>
        <item x="886"/>
        <item x="284"/>
        <item x="907"/>
        <item x="908"/>
        <item x="37"/>
        <item x="417"/>
        <item x="540"/>
        <item x="712"/>
        <item x="927"/>
        <item x="885"/>
        <item x="78"/>
        <item x="302"/>
        <item x="646"/>
        <item x="905"/>
        <item x="386"/>
        <item x="936"/>
        <item x="327"/>
        <item x="205"/>
        <item x="626"/>
        <item x="84"/>
        <item x="719"/>
        <item x="720"/>
        <item x="563"/>
        <item x="849"/>
        <item x="82"/>
        <item x="558"/>
        <item x="416"/>
        <item x="200"/>
        <item x="265"/>
        <item x="290"/>
        <item x="81"/>
        <item x="312"/>
        <item x="353"/>
        <item x="752"/>
        <item x="151"/>
        <item x="289"/>
        <item x="354"/>
        <item x="472"/>
        <item x="46"/>
        <item x="805"/>
        <item x="543"/>
        <item x="75"/>
        <item x="542"/>
        <item x="616"/>
        <item x="791"/>
        <item x="935"/>
        <item x="855"/>
        <item x="30"/>
        <item x="581"/>
        <item x="29"/>
        <item x="152"/>
        <item x="479"/>
        <item x="909"/>
        <item x="798"/>
        <item x="393"/>
        <item x="456"/>
        <item x="263"/>
        <item x="457"/>
        <item x="394"/>
        <item x="89"/>
        <item x="850"/>
        <item x="910"/>
        <item x="366"/>
        <item x="367"/>
        <item x="900"/>
        <item x="961"/>
        <item x="355"/>
        <item x="594"/>
        <item x="223"/>
        <item x="585"/>
        <item x="544"/>
        <item x="214"/>
        <item x="215"/>
        <item x="216"/>
        <item x="395"/>
        <item x="83"/>
        <item x="775"/>
        <item x="21"/>
        <item x="939"/>
        <item x="683"/>
        <item x="731"/>
        <item x="108"/>
        <item x="824"/>
        <item x="12"/>
        <item x="625"/>
        <item x="460"/>
        <item x="595"/>
        <item x="978"/>
        <item x="825"/>
        <item x="518"/>
        <item x="54"/>
        <item x="22"/>
        <item x="167"/>
        <item x="20"/>
        <item x="877"/>
        <item x="641"/>
        <item x="369"/>
        <item x="225"/>
        <item x="913"/>
        <item x="820"/>
        <item x="57"/>
        <item x="650"/>
        <item x="192"/>
        <item x="191"/>
        <item x="373"/>
        <item x="461"/>
        <item x="291"/>
        <item x="520"/>
        <item x="189"/>
        <item x="963"/>
        <item x="441"/>
        <item x="58"/>
        <item x="27"/>
        <item x="287"/>
        <item x="79"/>
        <item x="232"/>
        <item x="73"/>
        <item x="911"/>
        <item x="701"/>
        <item x="50"/>
        <item x="937"/>
        <item x="356"/>
        <item x="193"/>
        <item x="194"/>
        <item x="737"/>
        <item x="246"/>
        <item x="649"/>
        <item x="944"/>
        <item x="945"/>
        <item x="640"/>
        <item x="217"/>
        <item x="331"/>
        <item x="918"/>
        <item x="255"/>
        <item x="749"/>
        <item x="919"/>
        <item x="745"/>
        <item x="467"/>
        <item x="241"/>
        <item x="707"/>
        <item x="515"/>
        <item x="514"/>
        <item x="916"/>
        <item x="938"/>
        <item x="605"/>
        <item x="606"/>
        <item x="490"/>
        <item x="31"/>
        <item x="607"/>
        <item x="932"/>
        <item x="920"/>
        <item x="716"/>
        <item x="717"/>
        <item x="681"/>
        <item x="618"/>
        <item x="734"/>
        <item x="896"/>
        <item x="608"/>
        <item x="421"/>
        <item x="814"/>
        <item x="922"/>
        <item x="884"/>
        <item x="856"/>
        <item x="601"/>
        <item x="516"/>
        <item x="414"/>
        <item x="733"/>
        <item x="158"/>
        <item x="815"/>
        <item x="517"/>
        <item x="593"/>
        <item x="212"/>
        <item x="114"/>
        <item x="292"/>
        <item x="852"/>
        <item x="468"/>
        <item x="609"/>
        <item x="102"/>
        <item x="368"/>
        <item x="88"/>
        <item x="103"/>
        <item x="104"/>
        <item x="160"/>
        <item x="315"/>
        <item x="115"/>
        <item x="159"/>
        <item x="172"/>
        <item x="702"/>
        <item x="727"/>
        <item x="128"/>
        <item x="713"/>
        <item x="130"/>
        <item x="131"/>
        <item x="245"/>
        <item x="617"/>
        <item x="28"/>
        <item x="899"/>
        <item x="774"/>
        <item x="598"/>
        <item x="989"/>
        <item x="599"/>
        <item x="600"/>
        <item x="693"/>
        <item x="251"/>
        <item x="224"/>
        <item x="425"/>
        <item x="150"/>
        <item x="506"/>
        <item x="34"/>
        <item x="741"/>
        <item x="990"/>
        <item x="933"/>
        <item x="480"/>
        <item x="806"/>
        <item x="67"/>
        <item x="726"/>
        <item x="299"/>
        <item x="51"/>
        <item x="332"/>
        <item x="894"/>
        <item x="476"/>
        <item x="52"/>
        <item x="256"/>
        <item x="336"/>
        <item x="171"/>
        <item x="41"/>
        <item x="364"/>
        <item x="116"/>
        <item x="477"/>
        <item x="234"/>
        <item x="25"/>
        <item x="519"/>
        <item x="71"/>
        <item x="755"/>
        <item x="604"/>
        <item x="943"/>
        <item x="881"/>
        <item x="928"/>
        <item x="117"/>
        <item x="492"/>
        <item x="93"/>
        <item x="337"/>
        <item x="338"/>
        <item x="94"/>
        <item x="391"/>
        <item x="36"/>
        <item x="915"/>
        <item x="957"/>
        <item x="507"/>
        <item x="687"/>
        <item x="80"/>
        <item x="513"/>
        <item x="124"/>
        <item x="387"/>
        <item x="779"/>
        <item x="365"/>
        <item x="508"/>
        <item x="40"/>
        <item x="613"/>
        <item x="69"/>
        <item x="70"/>
        <item x="901"/>
        <item x="119"/>
        <item x="120"/>
        <item x="880"/>
        <item x="91"/>
        <item x="436"/>
        <item x="439"/>
        <item x="902"/>
        <item x="509"/>
        <item x="510"/>
        <item x="491"/>
        <item x="857"/>
        <item x="228"/>
        <item x="442"/>
        <item x="547"/>
        <item x="280"/>
        <item x="319"/>
        <item x="279"/>
        <item x="784"/>
        <item x="955"/>
        <item x="773"/>
        <item x="320"/>
        <item x="983"/>
        <item x="643"/>
        <item x="61"/>
        <item x="929"/>
        <item x="443"/>
        <item x="149"/>
        <item x="170"/>
        <item x="437"/>
        <item x="62"/>
        <item x="87"/>
        <item x="644"/>
        <item x="118"/>
        <item x="620"/>
        <item x="545"/>
        <item x="582"/>
        <item x="438"/>
        <item x="90"/>
        <item x="840"/>
        <item x="917"/>
        <item x="372"/>
        <item x="621"/>
        <item x="602"/>
        <item x="962"/>
        <item x="942"/>
        <item x="796"/>
        <item x="257"/>
        <item x="121"/>
        <item x="122"/>
        <item x="795"/>
        <item x="401"/>
        <item x="415"/>
        <item x="478"/>
        <item x="308"/>
        <item x="700"/>
        <item x="940"/>
        <item x="941"/>
        <item x="345"/>
        <item x="736"/>
        <item x="187"/>
        <item x="792"/>
        <item x="178"/>
        <item x="352"/>
        <item x="895"/>
        <item x="201"/>
        <item x="202"/>
        <item x="399"/>
        <item x="63"/>
        <item x="5"/>
        <item x="984"/>
        <item x="179"/>
        <item x="177"/>
        <item x="173"/>
        <item x="68"/>
        <item x="64"/>
        <item x="739"/>
        <item x="785"/>
        <item x="645"/>
        <item x="400"/>
        <item x="923"/>
        <item x="738"/>
        <item x="459"/>
        <item x="930"/>
        <item x="659"/>
        <item x="912"/>
        <item x="710"/>
        <item x="793"/>
        <item x="843"/>
        <item x="426"/>
        <item x="427"/>
        <item x="323"/>
        <item x="924"/>
        <item x="6"/>
        <item x="304"/>
        <item x="305"/>
        <item x="180"/>
        <item x="715"/>
        <item x="735"/>
        <item x="429"/>
        <item x="325"/>
        <item x="981"/>
        <item x="174"/>
        <item x="326"/>
        <item x="611"/>
        <item x="175"/>
        <item x="882"/>
        <item x="204"/>
        <item x="524"/>
        <item x="794"/>
        <item x="780"/>
        <item x="430"/>
        <item x="213"/>
        <item x="140"/>
        <item x="475"/>
        <item x="405"/>
        <item x="435"/>
        <item x="248"/>
        <item x="406"/>
        <item x="708"/>
        <item x="903"/>
        <item x="154"/>
        <item x="186"/>
        <item x="407"/>
        <item x="946"/>
        <item x="980"/>
        <item x="471"/>
        <item x="592"/>
        <item x="521"/>
        <item x="176"/>
        <item x="113"/>
        <item x="883"/>
        <item x="714"/>
        <item x="351"/>
        <item x="322"/>
        <item x="278"/>
        <item x="221"/>
        <item x="870"/>
        <item x="209"/>
        <item x="622"/>
        <item x="195"/>
        <item x="357"/>
        <item x="419"/>
        <item x="328"/>
        <item x="703"/>
        <item x="565"/>
        <item x="434"/>
        <item x="979"/>
        <item x="512"/>
        <item x="569"/>
        <item x="10"/>
        <item x="74"/>
        <item x="665"/>
        <item x="135"/>
        <item x="123"/>
        <item x="146"/>
        <item x="504"/>
        <item x="853"/>
        <item x="756"/>
        <item x="458"/>
        <item x="564"/>
        <item x="610"/>
        <item x="858"/>
        <item x="554"/>
        <item x="253"/>
        <item x="184"/>
        <item x="183"/>
        <item x="688"/>
        <item x="464"/>
        <item x="787"/>
        <item x="748"/>
        <item x="721"/>
        <item x="344"/>
        <item x="3"/>
        <item x="761"/>
        <item x="786"/>
        <item x="664"/>
        <item x="586"/>
        <item x="358"/>
        <item x="789"/>
        <item x="841"/>
        <item x="790"/>
        <item x="728"/>
        <item x="382"/>
        <item x="689"/>
        <item x="141"/>
        <item x="404"/>
        <item x="465"/>
        <item x="72"/>
        <item x="254"/>
        <item x="153"/>
        <item x="11"/>
        <item x="732"/>
        <item x="139"/>
        <item x="597"/>
        <item x="156"/>
        <item x="359"/>
        <item x="876"/>
        <item x="155"/>
        <item x="819"/>
        <item x="261"/>
        <item x="247"/>
        <item x="402"/>
        <item x="623"/>
        <item x="133"/>
        <item x="669"/>
        <item x="567"/>
        <item x="132"/>
        <item x="138"/>
        <item x="874"/>
        <item x="875"/>
        <item x="568"/>
        <item x="403"/>
        <item x="482"/>
        <item x="296"/>
        <item x="260"/>
        <item x="596"/>
        <item x="904"/>
        <item x="432"/>
        <item x="566"/>
        <item x="532"/>
        <item x="297"/>
        <item x="380"/>
        <item x="181"/>
        <item x="182"/>
        <item x="744"/>
        <item x="552"/>
        <item x="528"/>
        <item x="431"/>
        <item x="553"/>
        <item x="252"/>
        <item x="844"/>
        <item x="26"/>
        <item x="846"/>
        <item x="630"/>
        <item x="185"/>
        <item x="746"/>
        <item x="631"/>
        <item x="762"/>
        <item x="747"/>
        <item x="603"/>
        <item x="483"/>
        <item x="821"/>
        <item x="35"/>
        <item x="548"/>
        <item x="466"/>
        <item x="854"/>
        <item x="76"/>
        <item x="759"/>
        <item x="363"/>
        <item x="783"/>
        <item x="227"/>
        <item x="750"/>
        <item x="481"/>
        <item x="758"/>
        <item x="249"/>
        <item x="188"/>
        <item x="612"/>
        <item x="1"/>
        <item x="931"/>
        <item x="619"/>
        <item x="105"/>
        <item x="433"/>
        <item x="77"/>
        <item x="229"/>
        <item x="706"/>
        <item x="760"/>
        <item x="705"/>
        <item x="85"/>
        <item x="454"/>
        <item x="298"/>
        <item x="360"/>
        <item x="66"/>
        <item x="914"/>
        <item x="845"/>
        <item x="574"/>
        <item x="757"/>
        <item x="362"/>
        <item x="826"/>
        <item x="2"/>
        <item x="346"/>
        <item x="381"/>
        <item x="24"/>
        <item x="343"/>
        <item x="743"/>
        <item x="828"/>
        <item x="859"/>
        <item x="23"/>
        <item x="704"/>
        <item x="361"/>
        <item x="871"/>
        <item x="8"/>
        <item x="65"/>
        <item x="42"/>
        <item x="370"/>
        <item x="818"/>
        <item x="782"/>
        <item x="281"/>
        <item x="428"/>
        <item x="449"/>
        <item x="977"/>
        <item x="781"/>
        <item x="872"/>
        <item x="293"/>
        <item x="309"/>
        <item x="591"/>
        <item x="306"/>
        <item x="86"/>
        <item x="307"/>
        <item x="740"/>
        <item x="39"/>
        <item x="992"/>
        <item t="default"/>
      </items>
    </pivotField>
    <pivotField showAll="0"/>
    <pivotField showAll="0">
      <items count="9">
        <item x="4"/>
        <item x="0"/>
        <item x="3"/>
        <item x="1"/>
        <item x="5"/>
        <item x="2"/>
        <item x="6"/>
        <item h="1" x="7"/>
        <item t="default"/>
      </items>
    </pivotField>
    <pivotField showAll="0"/>
    <pivotField showAll="0">
      <items count="4">
        <item x="0"/>
        <item x="1"/>
        <item x="2"/>
        <item t="default"/>
      </items>
    </pivotField>
    <pivotField showAll="0"/>
    <pivotField axis="axisRow" showAll="0">
      <items count="7">
        <item x="2"/>
        <item x="0"/>
        <item x="4"/>
        <item x="1"/>
        <item x="3"/>
        <item h="1" x="5"/>
        <item t="default"/>
      </items>
    </pivotField>
  </pivotFields>
  <rowFields count="1">
    <field x="14"/>
  </rowFields>
  <rowItems count="6">
    <i>
      <x/>
    </i>
    <i>
      <x v="1"/>
    </i>
    <i>
      <x v="2"/>
    </i>
    <i>
      <x v="3"/>
    </i>
    <i>
      <x v="4"/>
    </i>
    <i t="grand">
      <x/>
    </i>
  </rowItems>
  <colItems count="1">
    <i/>
  </colItems>
  <dataFields count="1">
    <dataField name="Sum of UserID_Profile" fld="0" baseField="0" baseItem="0"/>
  </dataFields>
  <formats count="1">
    <format dxfId="40">
      <pivotArea outline="0" collapsedLevelsAreSubtotals="1" fieldPosition="0"/>
    </format>
  </formats>
  <chartFormats count="1">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A61D13-94F4-49B9-A580-DF5C5EB9F04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5">
    <pivotField dataField="1" showAll="0"/>
    <pivotField axis="axisRow" showAll="0">
      <items count="5">
        <item x="2"/>
        <item x="0"/>
        <item x="1"/>
        <item n="Null"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UserID_Profile" fld="0" baseField="0" baseItem="0" numFmtId="3"/>
  </dataFields>
  <formats count="1">
    <format dxfId="42">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2"/>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A54587-B885-4778-B5B8-5EEC1791EA55}"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9:B30" firstHeaderRow="1" firstDataRow="1" firstDataCol="1"/>
  <pivotFields count="15">
    <pivotField dataField="1"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axis="axisRow" showAll="0" sortType="descending">
      <items count="12">
        <item x="3"/>
        <item x="7"/>
        <item x="2"/>
        <item x="4"/>
        <item x="6"/>
        <item x="5"/>
        <item x="1"/>
        <item x="8"/>
        <item x="9"/>
        <item x="0"/>
        <item h="1"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4"/>
  </rowFields>
  <rowItems count="11">
    <i>
      <x v="2"/>
    </i>
    <i>
      <x v="9"/>
    </i>
    <i>
      <x v="3"/>
    </i>
    <i>
      <x v="5"/>
    </i>
    <i>
      <x v="4"/>
    </i>
    <i>
      <x/>
    </i>
    <i>
      <x v="1"/>
    </i>
    <i>
      <x v="7"/>
    </i>
    <i>
      <x v="6"/>
    </i>
    <i>
      <x v="8"/>
    </i>
    <i t="grand">
      <x/>
    </i>
  </rowItems>
  <colItems count="1">
    <i/>
  </colItems>
  <dataFields count="1">
    <dataField name="Sum of UserID_Profile" fld="0" baseField="0" baseItem="0" numFmtId="3"/>
  </dataFields>
  <formats count="1">
    <format dxfId="38">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24E2CA-2A36-4506-9575-FC574BC017F8}"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73:E83" firstHeaderRow="1" firstDataRow="2" firstDataCol="1"/>
  <pivotFields count="15">
    <pivotField dataField="1" showAll="0"/>
    <pivotField axis="axisCol" showAll="0" sortType="ascending">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axis="axisRow" showAll="0" sortType="descending">
      <items count="19">
        <item h="1" x="11"/>
        <item h="1" x="3"/>
        <item h="1" x="9"/>
        <item h="1" x="5"/>
        <item x="4"/>
        <item h="1" x="12"/>
        <item h="1" x="15"/>
        <item h="1" x="8"/>
        <item h="1" x="1"/>
        <item h="1" x="10"/>
        <item h="1" x="16"/>
        <item h="1" x="14"/>
        <item h="1" x="2"/>
        <item h="1" x="7"/>
        <item h="1" x="6"/>
        <item h="1" x="0"/>
        <item h="1" x="13"/>
        <item h="1" x="17"/>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9">
        <item x="4"/>
        <item x="0"/>
        <item x="3"/>
        <item x="1"/>
        <item x="5"/>
        <item x="2"/>
        <item x="6"/>
        <item x="7"/>
        <item t="default"/>
      </items>
    </pivotField>
    <pivotField showAll="0"/>
    <pivotField showAll="0"/>
    <pivotField showAll="0"/>
    <pivotField showAll="0">
      <items count="7">
        <item x="2"/>
        <item x="0"/>
        <item x="4"/>
        <item x="1"/>
        <item x="3"/>
        <item x="5"/>
        <item t="default"/>
      </items>
    </pivotField>
  </pivotFields>
  <rowFields count="2">
    <field x="7"/>
    <field x="10"/>
  </rowFields>
  <rowItems count="9">
    <i>
      <x v="4"/>
    </i>
    <i r="1">
      <x/>
    </i>
    <i r="1">
      <x v="1"/>
    </i>
    <i r="1">
      <x v="2"/>
    </i>
    <i r="1">
      <x v="3"/>
    </i>
    <i r="1">
      <x v="4"/>
    </i>
    <i r="1">
      <x v="5"/>
    </i>
    <i r="1">
      <x v="6"/>
    </i>
    <i t="grand">
      <x/>
    </i>
  </rowItems>
  <colFields count="1">
    <field x="1"/>
  </colFields>
  <colItems count="4">
    <i>
      <x/>
    </i>
    <i>
      <x v="1"/>
    </i>
    <i>
      <x v="2"/>
    </i>
    <i t="grand">
      <x/>
    </i>
  </colItems>
  <dataFields count="1">
    <dataField name="Sum of UserID_Profile" fld="0" baseField="0" baseItem="0"/>
  </dataFields>
  <formats count="2">
    <format dxfId="43">
      <pivotArea outline="0" collapsedLevelsAreSubtotals="1" fieldPosition="0"/>
    </format>
    <format dxfId="41">
      <pivotArea collapsedLevelsAreSubtotals="1" fieldPosition="0">
        <references count="2">
          <reference field="1" count="1" selected="0">
            <x v="0"/>
          </reference>
          <reference field="7" count="0"/>
        </references>
      </pivotArea>
    </format>
  </formats>
  <chartFormats count="6">
    <chartFormat chart="22" format="0" series="1">
      <pivotArea type="data" outline="0" fieldPosition="0">
        <references count="2">
          <reference field="4294967294" count="1" selected="0">
            <x v="0"/>
          </reference>
          <reference field="1" count="1" selected="0">
            <x v="0"/>
          </reference>
        </references>
      </pivotArea>
    </chartFormat>
    <chartFormat chart="22" format="1" series="1">
      <pivotArea type="data" outline="0" fieldPosition="0">
        <references count="2">
          <reference field="4294967294" count="1" selected="0">
            <x v="0"/>
          </reference>
          <reference field="1" count="1" selected="0">
            <x v="1"/>
          </reference>
        </references>
      </pivotArea>
    </chartFormat>
    <chartFormat chart="22" format="2" series="1">
      <pivotArea type="data" outline="0" fieldPosition="0">
        <references count="2">
          <reference field="4294967294" count="1" selected="0">
            <x v="0"/>
          </reference>
          <reference field="1" count="1" selected="0">
            <x v="2"/>
          </reference>
        </references>
      </pivotArea>
    </chartFormat>
    <chartFormat chart="30" format="0" series="1">
      <pivotArea type="data" outline="0" fieldPosition="0">
        <references count="2">
          <reference field="4294967294" count="1" selected="0">
            <x v="0"/>
          </reference>
          <reference field="1" count="1" selected="0">
            <x v="0"/>
          </reference>
        </references>
      </pivotArea>
    </chartFormat>
    <chartFormat chart="30" format="1" series="1">
      <pivotArea type="data" outline="0" fieldPosition="0">
        <references count="2">
          <reference field="4294967294" count="1" selected="0">
            <x v="0"/>
          </reference>
          <reference field="1" count="1" selected="0">
            <x v="1"/>
          </reference>
        </references>
      </pivotArea>
    </chartFormat>
    <chartFormat chart="3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78F73E-2B37-46F4-8660-5B67953FF956}" name="PivotTable12"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5">
  <location ref="A85:B93" firstHeaderRow="1" firstDataRow="1" firstDataCol="1"/>
  <pivotFields count="15">
    <pivotField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showAll="0">
      <items count="19">
        <item x="11"/>
        <item x="3"/>
        <item x="9"/>
        <item x="5"/>
        <item x="4"/>
        <item x="12"/>
        <item x="15"/>
        <item x="8"/>
        <item x="1"/>
        <item x="10"/>
        <item x="16"/>
        <item x="14"/>
        <item x="2"/>
        <item x="7"/>
        <item x="6"/>
        <item x="0"/>
        <item x="13"/>
        <item h="1" x="17"/>
        <item t="default"/>
      </items>
    </pivotField>
    <pivotField showAll="0">
      <items count="994">
        <item x="165"/>
        <item x="276"/>
        <item x="813"/>
        <item x="218"/>
        <item x="219"/>
        <item x="163"/>
        <item x="627"/>
        <item x="168"/>
        <item x="271"/>
        <item x="220"/>
        <item x="376"/>
        <item x="807"/>
        <item x="675"/>
        <item x="157"/>
        <item x="161"/>
        <item x="272"/>
        <item x="812"/>
        <item x="268"/>
        <item x="277"/>
        <item x="488"/>
        <item x="776"/>
        <item x="274"/>
        <item x="275"/>
        <item x="148"/>
        <item x="273"/>
        <item x="0"/>
        <item x="489"/>
        <item x="577"/>
        <item x="657"/>
        <item x="109"/>
        <item x="651"/>
        <item x="653"/>
        <item x="674"/>
        <item x="682"/>
        <item x="810"/>
        <item x="283"/>
        <item x="878"/>
        <item x="974"/>
        <item x="767"/>
        <item x="867"/>
        <item x="647"/>
        <item x="535"/>
        <item x="658"/>
        <item x="921"/>
        <item x="768"/>
        <item x="777"/>
        <item x="652"/>
        <item x="654"/>
        <item x="837"/>
        <item x="164"/>
        <item x="190"/>
        <item x="655"/>
        <item x="258"/>
        <item x="259"/>
        <item x="680"/>
        <item x="9"/>
        <item x="835"/>
        <item x="14"/>
        <item x="505"/>
        <item x="628"/>
        <item x="110"/>
        <item x="99"/>
        <item x="656"/>
        <item x="947"/>
        <item x="578"/>
        <item x="690"/>
        <item x="949"/>
        <item x="879"/>
        <item x="952"/>
        <item x="763"/>
        <item x="959"/>
        <item x="827"/>
        <item x="211"/>
        <item x="210"/>
        <item x="59"/>
        <item x="335"/>
        <item x="142"/>
        <item x="809"/>
        <item x="969"/>
        <item x="266"/>
        <item x="333"/>
        <item x="833"/>
        <item x="834"/>
        <item x="873"/>
        <item x="169"/>
        <item x="334"/>
        <item x="966"/>
        <item x="778"/>
        <item x="579"/>
        <item x="629"/>
        <item x="968"/>
        <item x="666"/>
        <item x="635"/>
        <item x="965"/>
        <item x="226"/>
        <item x="668"/>
        <item x="636"/>
        <item x="55"/>
        <item x="976"/>
        <item x="967"/>
        <item x="639"/>
        <item x="670"/>
        <item x="424"/>
        <item x="389"/>
        <item x="836"/>
        <item x="445"/>
        <item x="632"/>
        <item x="537"/>
        <item x="667"/>
        <item x="378"/>
        <item x="97"/>
        <item x="522"/>
        <item x="624"/>
        <item x="145"/>
        <item x="634"/>
        <item x="448"/>
        <item x="101"/>
        <item x="451"/>
        <item x="452"/>
        <item x="869"/>
        <item x="318"/>
        <item x="100"/>
        <item x="321"/>
        <item x="96"/>
        <item x="638"/>
        <item x="526"/>
        <item x="868"/>
        <item x="523"/>
        <item x="692"/>
        <item x="958"/>
        <item x="413"/>
        <item x="371"/>
        <item x="588"/>
        <item x="642"/>
        <item x="269"/>
        <item x="536"/>
        <item x="637"/>
        <item x="377"/>
        <item x="453"/>
        <item x="446"/>
        <item x="379"/>
        <item x="236"/>
        <item x="420"/>
        <item x="580"/>
        <item x="551"/>
        <item x="679"/>
        <item x="678"/>
        <item x="742"/>
        <item x="295"/>
        <item x="60"/>
        <item x="533"/>
        <item x="294"/>
        <item x="534"/>
        <item x="349"/>
        <item x="33"/>
        <item x="525"/>
        <item x="951"/>
        <item x="766"/>
        <item x="196"/>
        <item x="342"/>
        <item x="398"/>
        <item x="350"/>
        <item x="501"/>
        <item x="685"/>
        <item x="865"/>
        <item x="473"/>
        <item x="973"/>
        <item x="972"/>
        <item x="348"/>
        <item x="53"/>
        <item x="347"/>
        <item x="864"/>
        <item x="696"/>
        <item x="587"/>
        <item x="324"/>
        <item x="808"/>
        <item x="267"/>
        <item x="862"/>
        <item x="561"/>
        <item x="282"/>
        <item x="971"/>
        <item x="423"/>
        <item x="975"/>
        <item x="677"/>
        <item x="495"/>
        <item x="590"/>
        <item x="861"/>
        <item x="633"/>
        <item x="499"/>
        <item x="648"/>
        <item x="560"/>
        <item x="676"/>
        <item x="422"/>
        <item x="162"/>
        <item x="866"/>
        <item x="559"/>
        <item x="960"/>
        <item x="447"/>
        <item x="950"/>
        <item x="49"/>
        <item x="860"/>
        <item x="550"/>
        <item x="589"/>
        <item x="493"/>
        <item x="496"/>
        <item x="485"/>
        <item x="771"/>
        <item x="444"/>
        <item x="486"/>
        <item x="500"/>
        <item x="948"/>
        <item x="143"/>
        <item x="474"/>
        <item x="863"/>
        <item x="48"/>
        <item x="107"/>
        <item x="709"/>
        <item x="725"/>
        <item x="724"/>
        <item x="300"/>
        <item x="964"/>
        <item x="671"/>
        <item x="45"/>
        <item x="672"/>
        <item x="770"/>
        <item x="4"/>
        <item x="723"/>
        <item x="804"/>
        <item x="838"/>
        <item x="956"/>
        <item x="684"/>
        <item x="7"/>
        <item x="753"/>
        <item x="754"/>
        <item x="270"/>
        <item x="144"/>
        <item x="772"/>
        <item x="934"/>
        <item x="106"/>
        <item x="32"/>
        <item x="765"/>
        <item x="673"/>
        <item x="440"/>
        <item x="557"/>
        <item x="262"/>
        <item x="15"/>
        <item x="797"/>
        <item x="134"/>
        <item x="694"/>
        <item x="497"/>
        <item x="314"/>
        <item x="125"/>
        <item x="408"/>
        <item x="126"/>
        <item x="250"/>
        <item x="562"/>
        <item x="718"/>
        <item x="498"/>
        <item x="385"/>
        <item x="388"/>
        <item x="136"/>
        <item x="137"/>
        <item x="823"/>
        <item x="546"/>
        <item x="222"/>
        <item x="127"/>
        <item x="695"/>
        <item x="987"/>
        <item x="340"/>
        <item x="484"/>
        <item x="494"/>
        <item x="970"/>
        <item x="341"/>
        <item x="92"/>
        <item x="729"/>
        <item x="842"/>
        <item x="839"/>
        <item x="330"/>
        <item x="691"/>
        <item x="316"/>
        <item x="686"/>
        <item x="583"/>
        <item x="986"/>
        <item x="208"/>
        <item x="203"/>
        <item x="375"/>
        <item x="197"/>
        <item x="374"/>
        <item x="985"/>
        <item x="329"/>
        <item x="317"/>
        <item x="95"/>
        <item x="991"/>
        <item x="112"/>
        <item x="887"/>
        <item x="573"/>
        <item x="166"/>
        <item x="129"/>
        <item x="817"/>
        <item x="576"/>
        <item x="811"/>
        <item x="822"/>
        <item x="450"/>
        <item x="206"/>
        <item x="511"/>
        <item x="788"/>
        <item x="982"/>
        <item x="462"/>
        <item x="463"/>
        <item x="392"/>
        <item x="56"/>
        <item x="235"/>
        <item x="988"/>
        <item x="614"/>
        <item x="769"/>
        <item x="233"/>
        <item x="832"/>
        <item x="529"/>
        <item x="802"/>
        <item x="418"/>
        <item x="207"/>
        <item x="722"/>
        <item x="264"/>
        <item x="829"/>
        <item x="830"/>
        <item x="13"/>
        <item x="799"/>
        <item x="571"/>
        <item x="231"/>
        <item x="311"/>
        <item x="390"/>
        <item x="502"/>
        <item x="531"/>
        <item x="570"/>
        <item x="503"/>
        <item x="530"/>
        <item x="303"/>
        <item x="38"/>
        <item x="575"/>
        <item x="527"/>
        <item x="198"/>
        <item x="242"/>
        <item x="897"/>
        <item x="239"/>
        <item x="898"/>
        <item x="313"/>
        <item x="243"/>
        <item x="310"/>
        <item x="615"/>
        <item x="147"/>
        <item x="47"/>
        <item x="238"/>
        <item x="237"/>
        <item x="199"/>
        <item x="244"/>
        <item x="339"/>
        <item x="926"/>
        <item x="111"/>
        <item x="730"/>
        <item x="816"/>
        <item x="397"/>
        <item x="711"/>
        <item x="556"/>
        <item x="892"/>
        <item x="893"/>
        <item x="487"/>
        <item x="43"/>
        <item x="831"/>
        <item x="549"/>
        <item x="851"/>
        <item x="469"/>
        <item x="18"/>
        <item x="751"/>
        <item x="541"/>
        <item x="396"/>
        <item x="889"/>
        <item x="697"/>
        <item x="698"/>
        <item x="699"/>
        <item x="470"/>
        <item x="764"/>
        <item x="572"/>
        <item x="19"/>
        <item x="383"/>
        <item x="384"/>
        <item x="584"/>
        <item x="888"/>
        <item x="301"/>
        <item x="555"/>
        <item x="538"/>
        <item x="16"/>
        <item x="230"/>
        <item x="890"/>
        <item x="891"/>
        <item x="954"/>
        <item x="800"/>
        <item x="801"/>
        <item x="848"/>
        <item x="847"/>
        <item x="661"/>
        <item x="662"/>
        <item x="285"/>
        <item x="409"/>
        <item x="240"/>
        <item x="539"/>
        <item x="925"/>
        <item x="410"/>
        <item x="98"/>
        <item x="286"/>
        <item x="411"/>
        <item x="412"/>
        <item x="44"/>
        <item x="660"/>
        <item x="663"/>
        <item x="953"/>
        <item x="455"/>
        <item x="906"/>
        <item x="17"/>
        <item x="288"/>
        <item x="803"/>
        <item x="886"/>
        <item x="284"/>
        <item x="907"/>
        <item x="908"/>
        <item x="37"/>
        <item x="417"/>
        <item x="540"/>
        <item x="712"/>
        <item x="927"/>
        <item x="885"/>
        <item x="78"/>
        <item x="302"/>
        <item x="646"/>
        <item x="905"/>
        <item x="386"/>
        <item x="936"/>
        <item x="327"/>
        <item x="205"/>
        <item x="626"/>
        <item x="84"/>
        <item x="719"/>
        <item x="720"/>
        <item x="563"/>
        <item x="849"/>
        <item x="82"/>
        <item x="558"/>
        <item x="416"/>
        <item x="200"/>
        <item x="265"/>
        <item x="290"/>
        <item x="81"/>
        <item x="312"/>
        <item x="353"/>
        <item x="752"/>
        <item x="151"/>
        <item x="289"/>
        <item x="354"/>
        <item x="472"/>
        <item x="46"/>
        <item x="805"/>
        <item x="543"/>
        <item x="75"/>
        <item x="542"/>
        <item x="616"/>
        <item x="791"/>
        <item x="935"/>
        <item x="855"/>
        <item x="30"/>
        <item x="581"/>
        <item x="29"/>
        <item x="152"/>
        <item x="479"/>
        <item x="909"/>
        <item x="798"/>
        <item x="393"/>
        <item x="456"/>
        <item x="263"/>
        <item x="457"/>
        <item x="394"/>
        <item x="89"/>
        <item x="850"/>
        <item x="910"/>
        <item x="366"/>
        <item x="367"/>
        <item x="900"/>
        <item x="961"/>
        <item x="355"/>
        <item x="594"/>
        <item x="223"/>
        <item x="585"/>
        <item x="544"/>
        <item x="214"/>
        <item x="215"/>
        <item x="216"/>
        <item x="395"/>
        <item x="83"/>
        <item x="775"/>
        <item x="21"/>
        <item x="939"/>
        <item x="683"/>
        <item x="731"/>
        <item x="108"/>
        <item x="824"/>
        <item x="12"/>
        <item x="625"/>
        <item x="460"/>
        <item x="595"/>
        <item x="978"/>
        <item x="825"/>
        <item x="518"/>
        <item x="54"/>
        <item x="22"/>
        <item x="167"/>
        <item x="20"/>
        <item x="877"/>
        <item x="641"/>
        <item x="369"/>
        <item x="225"/>
        <item x="913"/>
        <item x="820"/>
        <item x="57"/>
        <item x="650"/>
        <item x="192"/>
        <item x="191"/>
        <item x="373"/>
        <item x="461"/>
        <item x="291"/>
        <item x="520"/>
        <item x="189"/>
        <item x="963"/>
        <item x="441"/>
        <item x="58"/>
        <item x="27"/>
        <item x="287"/>
        <item x="79"/>
        <item x="232"/>
        <item x="73"/>
        <item x="911"/>
        <item x="701"/>
        <item x="50"/>
        <item x="937"/>
        <item x="356"/>
        <item x="193"/>
        <item x="194"/>
        <item x="737"/>
        <item x="246"/>
        <item x="649"/>
        <item x="944"/>
        <item x="945"/>
        <item x="640"/>
        <item x="217"/>
        <item x="331"/>
        <item x="918"/>
        <item x="255"/>
        <item x="749"/>
        <item x="919"/>
        <item x="745"/>
        <item x="467"/>
        <item x="241"/>
        <item x="707"/>
        <item x="515"/>
        <item x="514"/>
        <item x="916"/>
        <item x="938"/>
        <item x="605"/>
        <item x="606"/>
        <item x="490"/>
        <item x="31"/>
        <item x="607"/>
        <item x="932"/>
        <item x="920"/>
        <item x="716"/>
        <item x="717"/>
        <item x="681"/>
        <item x="618"/>
        <item x="734"/>
        <item x="896"/>
        <item x="608"/>
        <item x="421"/>
        <item x="814"/>
        <item x="922"/>
        <item x="884"/>
        <item x="856"/>
        <item x="601"/>
        <item x="516"/>
        <item x="414"/>
        <item x="733"/>
        <item x="158"/>
        <item x="815"/>
        <item x="517"/>
        <item x="593"/>
        <item x="212"/>
        <item x="114"/>
        <item x="292"/>
        <item x="852"/>
        <item x="468"/>
        <item x="609"/>
        <item x="102"/>
        <item x="368"/>
        <item x="88"/>
        <item x="103"/>
        <item x="104"/>
        <item x="160"/>
        <item x="315"/>
        <item x="115"/>
        <item x="159"/>
        <item x="172"/>
        <item x="702"/>
        <item x="727"/>
        <item x="128"/>
        <item x="713"/>
        <item x="130"/>
        <item x="131"/>
        <item x="245"/>
        <item x="617"/>
        <item x="28"/>
        <item x="899"/>
        <item x="774"/>
        <item x="598"/>
        <item x="989"/>
        <item x="599"/>
        <item x="600"/>
        <item x="693"/>
        <item x="251"/>
        <item x="224"/>
        <item x="425"/>
        <item x="150"/>
        <item x="506"/>
        <item x="34"/>
        <item x="741"/>
        <item x="990"/>
        <item x="933"/>
        <item x="480"/>
        <item x="806"/>
        <item x="67"/>
        <item x="726"/>
        <item x="299"/>
        <item x="51"/>
        <item x="332"/>
        <item x="894"/>
        <item x="476"/>
        <item x="52"/>
        <item x="256"/>
        <item x="336"/>
        <item x="171"/>
        <item x="41"/>
        <item x="364"/>
        <item x="116"/>
        <item x="477"/>
        <item x="234"/>
        <item x="25"/>
        <item x="519"/>
        <item x="71"/>
        <item x="755"/>
        <item x="604"/>
        <item x="943"/>
        <item x="881"/>
        <item x="928"/>
        <item x="117"/>
        <item x="492"/>
        <item x="93"/>
        <item x="337"/>
        <item x="338"/>
        <item x="94"/>
        <item x="391"/>
        <item x="36"/>
        <item x="915"/>
        <item x="957"/>
        <item x="507"/>
        <item x="687"/>
        <item x="80"/>
        <item x="513"/>
        <item x="124"/>
        <item x="387"/>
        <item x="779"/>
        <item x="365"/>
        <item x="508"/>
        <item x="40"/>
        <item x="613"/>
        <item x="69"/>
        <item x="70"/>
        <item x="901"/>
        <item x="119"/>
        <item x="120"/>
        <item x="880"/>
        <item x="91"/>
        <item x="436"/>
        <item x="439"/>
        <item x="902"/>
        <item x="509"/>
        <item x="510"/>
        <item x="491"/>
        <item x="857"/>
        <item x="228"/>
        <item x="442"/>
        <item x="547"/>
        <item x="280"/>
        <item x="319"/>
        <item x="279"/>
        <item x="784"/>
        <item x="955"/>
        <item x="773"/>
        <item x="320"/>
        <item x="983"/>
        <item x="643"/>
        <item x="61"/>
        <item x="929"/>
        <item x="443"/>
        <item x="149"/>
        <item x="170"/>
        <item x="437"/>
        <item x="62"/>
        <item x="87"/>
        <item x="644"/>
        <item x="118"/>
        <item x="620"/>
        <item x="545"/>
        <item x="582"/>
        <item x="438"/>
        <item x="90"/>
        <item x="840"/>
        <item x="917"/>
        <item x="372"/>
        <item x="621"/>
        <item x="602"/>
        <item x="962"/>
        <item x="942"/>
        <item x="796"/>
        <item x="257"/>
        <item x="121"/>
        <item x="122"/>
        <item x="795"/>
        <item x="401"/>
        <item x="415"/>
        <item x="478"/>
        <item x="308"/>
        <item x="700"/>
        <item x="940"/>
        <item x="941"/>
        <item x="345"/>
        <item x="736"/>
        <item x="187"/>
        <item x="792"/>
        <item x="178"/>
        <item x="352"/>
        <item x="895"/>
        <item x="201"/>
        <item x="202"/>
        <item x="399"/>
        <item x="63"/>
        <item x="5"/>
        <item x="984"/>
        <item x="179"/>
        <item x="177"/>
        <item x="173"/>
        <item x="68"/>
        <item x="64"/>
        <item x="739"/>
        <item x="785"/>
        <item x="645"/>
        <item x="400"/>
        <item x="923"/>
        <item x="738"/>
        <item x="459"/>
        <item x="930"/>
        <item x="659"/>
        <item x="912"/>
        <item x="710"/>
        <item x="793"/>
        <item x="843"/>
        <item x="426"/>
        <item x="427"/>
        <item x="323"/>
        <item x="924"/>
        <item x="6"/>
        <item x="304"/>
        <item x="305"/>
        <item x="180"/>
        <item x="715"/>
        <item x="735"/>
        <item x="429"/>
        <item x="325"/>
        <item x="981"/>
        <item x="174"/>
        <item x="326"/>
        <item x="611"/>
        <item x="175"/>
        <item x="882"/>
        <item x="204"/>
        <item x="524"/>
        <item x="794"/>
        <item x="780"/>
        <item x="430"/>
        <item x="213"/>
        <item x="140"/>
        <item x="475"/>
        <item x="405"/>
        <item x="435"/>
        <item x="248"/>
        <item x="406"/>
        <item x="708"/>
        <item x="903"/>
        <item x="154"/>
        <item x="186"/>
        <item x="407"/>
        <item x="946"/>
        <item x="980"/>
        <item x="471"/>
        <item x="592"/>
        <item x="521"/>
        <item x="176"/>
        <item x="113"/>
        <item x="883"/>
        <item x="714"/>
        <item x="351"/>
        <item x="322"/>
        <item x="278"/>
        <item x="221"/>
        <item x="870"/>
        <item x="209"/>
        <item x="622"/>
        <item x="195"/>
        <item x="357"/>
        <item x="419"/>
        <item x="328"/>
        <item x="703"/>
        <item x="565"/>
        <item x="434"/>
        <item x="979"/>
        <item x="512"/>
        <item x="569"/>
        <item x="10"/>
        <item x="74"/>
        <item x="665"/>
        <item x="135"/>
        <item x="123"/>
        <item x="146"/>
        <item x="504"/>
        <item x="853"/>
        <item x="756"/>
        <item x="458"/>
        <item x="564"/>
        <item x="610"/>
        <item x="858"/>
        <item x="554"/>
        <item x="253"/>
        <item x="184"/>
        <item x="183"/>
        <item x="688"/>
        <item x="464"/>
        <item x="787"/>
        <item x="748"/>
        <item x="721"/>
        <item x="344"/>
        <item x="3"/>
        <item x="761"/>
        <item x="786"/>
        <item x="664"/>
        <item x="586"/>
        <item x="358"/>
        <item x="789"/>
        <item x="841"/>
        <item x="790"/>
        <item x="728"/>
        <item x="382"/>
        <item x="689"/>
        <item x="141"/>
        <item x="404"/>
        <item x="465"/>
        <item x="72"/>
        <item x="254"/>
        <item x="153"/>
        <item x="11"/>
        <item x="732"/>
        <item x="139"/>
        <item x="597"/>
        <item x="156"/>
        <item x="359"/>
        <item x="876"/>
        <item x="155"/>
        <item x="819"/>
        <item x="261"/>
        <item x="247"/>
        <item x="402"/>
        <item x="623"/>
        <item x="133"/>
        <item x="669"/>
        <item x="567"/>
        <item x="132"/>
        <item x="138"/>
        <item x="874"/>
        <item x="875"/>
        <item x="568"/>
        <item x="403"/>
        <item x="482"/>
        <item x="296"/>
        <item x="260"/>
        <item x="596"/>
        <item x="904"/>
        <item x="432"/>
        <item x="566"/>
        <item x="532"/>
        <item x="297"/>
        <item x="380"/>
        <item x="181"/>
        <item x="182"/>
        <item x="744"/>
        <item x="552"/>
        <item x="528"/>
        <item x="431"/>
        <item x="553"/>
        <item x="252"/>
        <item x="844"/>
        <item x="26"/>
        <item x="846"/>
        <item x="630"/>
        <item x="185"/>
        <item x="746"/>
        <item x="631"/>
        <item x="762"/>
        <item x="747"/>
        <item x="603"/>
        <item x="483"/>
        <item x="821"/>
        <item x="35"/>
        <item x="548"/>
        <item x="466"/>
        <item x="854"/>
        <item x="76"/>
        <item x="759"/>
        <item x="363"/>
        <item x="783"/>
        <item x="227"/>
        <item x="750"/>
        <item x="481"/>
        <item x="758"/>
        <item x="249"/>
        <item x="188"/>
        <item x="612"/>
        <item x="1"/>
        <item x="931"/>
        <item x="619"/>
        <item x="105"/>
        <item x="433"/>
        <item x="77"/>
        <item x="229"/>
        <item x="706"/>
        <item x="760"/>
        <item x="705"/>
        <item x="85"/>
        <item x="454"/>
        <item x="298"/>
        <item x="360"/>
        <item x="66"/>
        <item x="914"/>
        <item x="845"/>
        <item x="574"/>
        <item x="757"/>
        <item x="362"/>
        <item x="826"/>
        <item x="2"/>
        <item x="346"/>
        <item x="381"/>
        <item x="24"/>
        <item x="343"/>
        <item x="743"/>
        <item x="828"/>
        <item x="859"/>
        <item x="23"/>
        <item x="704"/>
        <item x="361"/>
        <item x="871"/>
        <item x="8"/>
        <item x="65"/>
        <item x="42"/>
        <item x="370"/>
        <item x="818"/>
        <item x="782"/>
        <item x="281"/>
        <item x="428"/>
        <item x="449"/>
        <item x="977"/>
        <item x="781"/>
        <item x="872"/>
        <item x="293"/>
        <item x="309"/>
        <item x="591"/>
        <item x="306"/>
        <item x="86"/>
        <item x="307"/>
        <item x="740"/>
        <item x="39"/>
        <item x="992"/>
        <item t="default"/>
      </items>
    </pivotField>
    <pivotField dataField="1" showAll="0"/>
    <pivotField axis="axisRow" showAll="0">
      <items count="9">
        <item x="4"/>
        <item x="0"/>
        <item x="3"/>
        <item x="1"/>
        <item x="5"/>
        <item x="2"/>
        <item x="6"/>
        <item h="1" x="7"/>
        <item t="default"/>
      </items>
    </pivotField>
    <pivotField showAll="0"/>
    <pivotField showAll="0"/>
    <pivotField showAll="0"/>
    <pivotField showAll="0">
      <items count="7">
        <item x="2"/>
        <item x="0"/>
        <item x="4"/>
        <item x="1"/>
        <item x="3"/>
        <item x="5"/>
        <item t="default"/>
      </items>
    </pivotField>
  </pivotFields>
  <rowFields count="1">
    <field x="10"/>
  </rowFields>
  <rowItems count="8">
    <i>
      <x/>
    </i>
    <i>
      <x v="1"/>
    </i>
    <i>
      <x v="2"/>
    </i>
    <i>
      <x v="3"/>
    </i>
    <i>
      <x v="4"/>
    </i>
    <i>
      <x v="5"/>
    </i>
    <i>
      <x v="6"/>
    </i>
    <i t="grand">
      <x/>
    </i>
  </rowItems>
  <colItems count="1">
    <i/>
  </colItems>
  <dataFields count="1">
    <dataField name="Sum of HourOfDay" fld="9" baseField="0" baseItem="0"/>
  </dataFields>
  <formats count="1">
    <format dxfId="44">
      <pivotArea outline="0" collapsedLevelsAreSubtotals="1" fieldPosition="0"/>
    </format>
  </formats>
  <chartFormats count="9">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10" count="1" selected="0">
            <x v="0"/>
          </reference>
        </references>
      </pivotArea>
    </chartFormat>
    <chartFormat chart="25" format="2">
      <pivotArea type="data" outline="0" fieldPosition="0">
        <references count="2">
          <reference field="4294967294" count="1" selected="0">
            <x v="0"/>
          </reference>
          <reference field="10" count="1" selected="0">
            <x v="1"/>
          </reference>
        </references>
      </pivotArea>
    </chartFormat>
    <chartFormat chart="25" format="3">
      <pivotArea type="data" outline="0" fieldPosition="0">
        <references count="2">
          <reference field="4294967294" count="1" selected="0">
            <x v="0"/>
          </reference>
          <reference field="10" count="1" selected="0">
            <x v="2"/>
          </reference>
        </references>
      </pivotArea>
    </chartFormat>
    <chartFormat chart="25" format="4">
      <pivotArea type="data" outline="0" fieldPosition="0">
        <references count="2">
          <reference field="4294967294" count="1" selected="0">
            <x v="0"/>
          </reference>
          <reference field="10" count="1" selected="0">
            <x v="3"/>
          </reference>
        </references>
      </pivotArea>
    </chartFormat>
    <chartFormat chart="25" format="5">
      <pivotArea type="data" outline="0" fieldPosition="0">
        <references count="2">
          <reference field="4294967294" count="1" selected="0">
            <x v="0"/>
          </reference>
          <reference field="10" count="1" selected="0">
            <x v="4"/>
          </reference>
        </references>
      </pivotArea>
    </chartFormat>
    <chartFormat chart="25" format="6">
      <pivotArea type="data" outline="0" fieldPosition="0">
        <references count="2">
          <reference field="4294967294" count="1" selected="0">
            <x v="0"/>
          </reference>
          <reference field="10" count="1" selected="0">
            <x v="5"/>
          </reference>
        </references>
      </pivotArea>
    </chartFormat>
    <chartFormat chart="25" format="7">
      <pivotArea type="data" outline="0" fieldPosition="0">
        <references count="2">
          <reference field="4294967294" count="1" selected="0">
            <x v="0"/>
          </reference>
          <reference field="10" count="1" selected="0">
            <x v="6"/>
          </reference>
        </references>
      </pivotArea>
    </chartFormat>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5EAF72-E294-47B0-BEBF-32E9287C3206}" name="PivotTable8"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6">
  <location ref="A52:G71" firstHeaderRow="1" firstDataRow="2" firstDataCol="1"/>
  <pivotFields count="15">
    <pivotField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axis="axisRow" showAll="0" sortType="descending">
      <items count="19">
        <item x="11"/>
        <item x="3"/>
        <item x="9"/>
        <item x="5"/>
        <item x="4"/>
        <item x="12"/>
        <item x="15"/>
        <item x="8"/>
        <item x="1"/>
        <item x="10"/>
        <item x="16"/>
        <item x="14"/>
        <item x="2"/>
        <item x="7"/>
        <item x="6"/>
        <item x="0"/>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axis="axisCol" showAll="0">
      <items count="7">
        <item x="2"/>
        <item x="0"/>
        <item x="4"/>
        <item x="1"/>
        <item x="3"/>
        <item x="5"/>
        <item t="default"/>
      </items>
    </pivotField>
  </pivotFields>
  <rowFields count="1">
    <field x="7"/>
  </rowFields>
  <rowItems count="18">
    <i>
      <x v="14"/>
    </i>
    <i>
      <x v="15"/>
    </i>
    <i>
      <x v="4"/>
    </i>
    <i>
      <x v="8"/>
    </i>
    <i>
      <x v="13"/>
    </i>
    <i>
      <x v="1"/>
    </i>
    <i>
      <x/>
    </i>
    <i>
      <x v="3"/>
    </i>
    <i>
      <x v="5"/>
    </i>
    <i>
      <x v="7"/>
    </i>
    <i>
      <x v="12"/>
    </i>
    <i>
      <x v="16"/>
    </i>
    <i>
      <x v="6"/>
    </i>
    <i>
      <x v="11"/>
    </i>
    <i>
      <x v="2"/>
    </i>
    <i>
      <x v="9"/>
    </i>
    <i>
      <x v="10"/>
    </i>
    <i t="grand">
      <x/>
    </i>
  </rowItems>
  <colFields count="1">
    <field x="14"/>
  </colFields>
  <colItems count="6">
    <i>
      <x/>
    </i>
    <i>
      <x v="1"/>
    </i>
    <i>
      <x v="2"/>
    </i>
    <i>
      <x v="3"/>
    </i>
    <i>
      <x v="4"/>
    </i>
    <i t="grand">
      <x/>
    </i>
  </colItems>
  <dataFields count="1">
    <dataField name="Sum of HourOfDay" fld="9" baseField="0" baseItem="0"/>
  </dataFields>
  <formats count="1">
    <format dxfId="45">
      <pivotArea outline="0" collapsedLevelsAreSubtotals="1" fieldPosition="0"/>
    </format>
  </formats>
  <chartFormats count="5">
    <chartFormat chart="34" format="0" series="1">
      <pivotArea type="data" outline="0" fieldPosition="0">
        <references count="2">
          <reference field="4294967294" count="1" selected="0">
            <x v="0"/>
          </reference>
          <reference field="14" count="1" selected="0">
            <x v="0"/>
          </reference>
        </references>
      </pivotArea>
    </chartFormat>
    <chartFormat chart="34" format="1" series="1">
      <pivotArea type="data" outline="0" fieldPosition="0">
        <references count="2">
          <reference field="4294967294" count="1" selected="0">
            <x v="0"/>
          </reference>
          <reference field="14" count="1" selected="0">
            <x v="1"/>
          </reference>
        </references>
      </pivotArea>
    </chartFormat>
    <chartFormat chart="34" format="2" series="1">
      <pivotArea type="data" outline="0" fieldPosition="0">
        <references count="2">
          <reference field="4294967294" count="1" selected="0">
            <x v="0"/>
          </reference>
          <reference field="14" count="1" selected="0">
            <x v="2"/>
          </reference>
        </references>
      </pivotArea>
    </chartFormat>
    <chartFormat chart="34" format="3" series="1">
      <pivotArea type="data" outline="0" fieldPosition="0">
        <references count="2">
          <reference field="4294967294" count="1" selected="0">
            <x v="0"/>
          </reference>
          <reference field="14" count="1" selected="0">
            <x v="3"/>
          </reference>
        </references>
      </pivotArea>
    </chartFormat>
    <chartFormat chart="34" format="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36DF55-A165-4043-8678-FEAD7DD45087}"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2:B45" firstHeaderRow="1" firstDataRow="1" firstDataCol="1"/>
  <pivotFields count="15">
    <pivotField dataField="1"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axis="axisRow" showAll="0" sortType="descending">
      <items count="19">
        <item x="11"/>
        <item x="3"/>
        <item x="9"/>
        <item x="5"/>
        <item x="4"/>
        <item x="12"/>
        <item x="15"/>
        <item x="8"/>
        <item x="1"/>
        <item x="10"/>
        <item x="16"/>
        <item x="14"/>
        <item h="1" x="2"/>
        <item h="1" x="7"/>
        <item h="1" x="6"/>
        <item h="1" x="0"/>
        <item h="1" x="13"/>
        <item h="1"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7">
        <item x="2"/>
        <item x="0"/>
        <item x="4"/>
        <item x="1"/>
        <item x="3"/>
        <item x="5"/>
        <item t="default"/>
      </items>
    </pivotField>
  </pivotFields>
  <rowFields count="1">
    <field x="7"/>
  </rowFields>
  <rowItems count="13">
    <i>
      <x v="8"/>
    </i>
    <i>
      <x v="4"/>
    </i>
    <i>
      <x/>
    </i>
    <i>
      <x v="1"/>
    </i>
    <i>
      <x v="3"/>
    </i>
    <i>
      <x v="5"/>
    </i>
    <i>
      <x v="7"/>
    </i>
    <i>
      <x v="11"/>
    </i>
    <i>
      <x v="6"/>
    </i>
    <i>
      <x v="2"/>
    </i>
    <i>
      <x v="9"/>
    </i>
    <i>
      <x v="10"/>
    </i>
    <i t="grand">
      <x/>
    </i>
  </rowItems>
  <colItems count="1">
    <i/>
  </colItems>
  <dataFields count="1">
    <dataField name="Sum of UserID_Profile" fld="0" baseField="0" baseItem="0"/>
  </dataFields>
  <formats count="1">
    <format dxfId="1">
      <pivotArea outline="0" collapsedLevelsAreSubtotals="1" fieldPosition="0"/>
    </format>
  </formats>
  <chartFormats count="2">
    <chartFormat chart="20" format="1"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1DC0E3-2955-478D-BF0C-C980250CA608}" name="PivotTable16"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7">
  <location ref="D85:E103" firstHeaderRow="1" firstDataRow="1" firstDataCol="1"/>
  <pivotFields count="15">
    <pivotField showAll="0"/>
    <pivotField showAll="0">
      <items count="5">
        <item x="2"/>
        <item x="0"/>
        <item x="1"/>
        <item n="Null" h="1" x="3"/>
        <item t="default"/>
      </items>
    </pivotField>
    <pivotField showAll="0">
      <items count="9">
        <item h="1" x="6"/>
        <item x="4"/>
        <item x="0"/>
        <item x="2"/>
        <item x="1"/>
        <item x="5"/>
        <item x="3"/>
        <item h="1" x="7"/>
        <item t="default"/>
      </items>
    </pivotField>
    <pivotField showAll="0"/>
    <pivotField showAll="0">
      <items count="12">
        <item x="3"/>
        <item x="7"/>
        <item x="2"/>
        <item x="4"/>
        <item x="6"/>
        <item x="5"/>
        <item x="1"/>
        <item x="8"/>
        <item x="9"/>
        <item x="0"/>
        <item h="1" x="10"/>
        <item t="default"/>
      </items>
    </pivotField>
    <pivotField showAll="0"/>
    <pivotField showAll="0">
      <items count="471">
        <item x="11"/>
        <item x="286"/>
        <item x="44"/>
        <item x="27"/>
        <item x="172"/>
        <item x="301"/>
        <item x="9"/>
        <item x="57"/>
        <item x="51"/>
        <item x="242"/>
        <item x="3"/>
        <item x="21"/>
        <item x="136"/>
        <item x="39"/>
        <item x="74"/>
        <item x="22"/>
        <item x="174"/>
        <item x="83"/>
        <item x="109"/>
        <item x="199"/>
        <item x="50"/>
        <item x="128"/>
        <item x="176"/>
        <item x="168"/>
        <item x="19"/>
        <item x="169"/>
        <item x="18"/>
        <item x="132"/>
        <item x="66"/>
        <item x="167"/>
        <item x="186"/>
        <item x="277"/>
        <item x="114"/>
        <item x="316"/>
        <item x="79"/>
        <item x="48"/>
        <item x="49"/>
        <item x="53"/>
        <item x="161"/>
        <item x="8"/>
        <item x="2"/>
        <item x="432"/>
        <item x="133"/>
        <item x="300"/>
        <item x="42"/>
        <item x="248"/>
        <item x="25"/>
        <item x="137"/>
        <item x="16"/>
        <item x="108"/>
        <item x="68"/>
        <item x="204"/>
        <item x="33"/>
        <item x="41"/>
        <item x="45"/>
        <item x="144"/>
        <item x="150"/>
        <item x="458"/>
        <item x="102"/>
        <item x="81"/>
        <item x="360"/>
        <item x="36"/>
        <item x="145"/>
        <item x="95"/>
        <item x="170"/>
        <item x="233"/>
        <item x="30"/>
        <item x="6"/>
        <item x="15"/>
        <item x="163"/>
        <item x="250"/>
        <item x="32"/>
        <item x="160"/>
        <item x="268"/>
        <item x="203"/>
        <item x="29"/>
        <item x="179"/>
        <item x="20"/>
        <item x="376"/>
        <item x="241"/>
        <item x="223"/>
        <item x="62"/>
        <item x="283"/>
        <item x="104"/>
        <item x="420"/>
        <item x="4"/>
        <item x="412"/>
        <item x="393"/>
        <item x="220"/>
        <item x="103"/>
        <item x="295"/>
        <item x="17"/>
        <item x="70"/>
        <item x="71"/>
        <item x="312"/>
        <item x="138"/>
        <item x="35"/>
        <item x="315"/>
        <item x="239"/>
        <item x="330"/>
        <item x="54"/>
        <item x="340"/>
        <item x="441"/>
        <item x="162"/>
        <item x="398"/>
        <item x="269"/>
        <item x="0"/>
        <item x="246"/>
        <item x="214"/>
        <item x="240"/>
        <item x="148"/>
        <item x="183"/>
        <item x="142"/>
        <item x="205"/>
        <item x="271"/>
        <item x="158"/>
        <item x="26"/>
        <item x="385"/>
        <item x="259"/>
        <item x="280"/>
        <item x="254"/>
        <item x="274"/>
        <item x="82"/>
        <item x="85"/>
        <item x="107"/>
        <item x="350"/>
        <item x="47"/>
        <item x="181"/>
        <item x="88"/>
        <item x="289"/>
        <item x="185"/>
        <item x="171"/>
        <item x="165"/>
        <item x="101"/>
        <item x="437"/>
        <item x="457"/>
        <item x="373"/>
        <item x="117"/>
        <item x="157"/>
        <item x="69"/>
        <item x="153"/>
        <item x="120"/>
        <item x="258"/>
        <item x="349"/>
        <item x="324"/>
        <item x="411"/>
        <item x="367"/>
        <item x="221"/>
        <item x="297"/>
        <item x="37"/>
        <item x="96"/>
        <item x="372"/>
        <item x="91"/>
        <item x="454"/>
        <item x="320"/>
        <item x="401"/>
        <item x="402"/>
        <item x="288"/>
        <item x="141"/>
        <item x="198"/>
        <item x="99"/>
        <item x="166"/>
        <item x="65"/>
        <item x="189"/>
        <item x="200"/>
        <item x="40"/>
        <item x="64"/>
        <item x="298"/>
        <item x="419"/>
        <item x="377"/>
        <item x="98"/>
        <item x="207"/>
        <item x="226"/>
        <item x="443"/>
        <item x="389"/>
        <item x="184"/>
        <item x="14"/>
        <item x="164"/>
        <item x="356"/>
        <item x="146"/>
        <item x="365"/>
        <item x="276"/>
        <item x="56"/>
        <item x="395"/>
        <item x="63"/>
        <item x="75"/>
        <item x="403"/>
        <item x="308"/>
        <item x="303"/>
        <item x="445"/>
        <item x="92"/>
        <item x="229"/>
        <item x="434"/>
        <item x="369"/>
        <item x="7"/>
        <item x="329"/>
        <item x="374"/>
        <item x="244"/>
        <item x="219"/>
        <item x="177"/>
        <item x="87"/>
        <item x="100"/>
        <item x="139"/>
        <item x="197"/>
        <item x="227"/>
        <item x="252"/>
        <item x="123"/>
        <item x="267"/>
        <item x="196"/>
        <item x="299"/>
        <item x="230"/>
        <item x="43"/>
        <item x="188"/>
        <item x="173"/>
        <item x="60"/>
        <item x="273"/>
        <item x="346"/>
        <item x="422"/>
        <item x="116"/>
        <item x="423"/>
        <item x="73"/>
        <item x="455"/>
        <item x="156"/>
        <item x="115"/>
        <item x="178"/>
        <item x="278"/>
        <item x="129"/>
        <item x="59"/>
        <item x="265"/>
        <item x="77"/>
        <item x="466"/>
        <item x="354"/>
        <item x="313"/>
        <item x="155"/>
        <item x="86"/>
        <item x="307"/>
        <item x="460"/>
        <item x="459"/>
        <item x="368"/>
        <item x="61"/>
        <item x="202"/>
        <item x="121"/>
        <item x="118"/>
        <item x="361"/>
        <item x="302"/>
        <item x="371"/>
        <item x="465"/>
        <item x="182"/>
        <item x="224"/>
        <item x="332"/>
        <item x="235"/>
        <item x="261"/>
        <item x="355"/>
        <item x="149"/>
        <item x="342"/>
        <item x="456"/>
        <item x="243"/>
        <item x="23"/>
        <item x="321"/>
        <item x="451"/>
        <item x="263"/>
        <item x="112"/>
        <item x="414"/>
        <item x="446"/>
        <item x="231"/>
        <item x="370"/>
        <item x="159"/>
        <item x="291"/>
        <item x="247"/>
        <item x="192"/>
        <item x="326"/>
        <item x="134"/>
        <item x="262"/>
        <item x="322"/>
        <item x="362"/>
        <item x="237"/>
        <item x="238"/>
        <item x="347"/>
        <item x="193"/>
        <item x="113"/>
        <item x="327"/>
        <item x="311"/>
        <item x="390"/>
        <item x="461"/>
        <item x="404"/>
        <item x="431"/>
        <item x="467"/>
        <item x="126"/>
        <item x="209"/>
        <item x="270"/>
        <item x="285"/>
        <item x="1"/>
        <item x="147"/>
        <item x="413"/>
        <item x="468"/>
        <item x="314"/>
        <item x="225"/>
        <item x="257"/>
        <item x="180"/>
        <item x="234"/>
        <item x="442"/>
        <item x="319"/>
        <item x="12"/>
        <item x="318"/>
        <item x="175"/>
        <item x="90"/>
        <item x="282"/>
        <item x="438"/>
        <item x="89"/>
        <item x="375"/>
        <item x="392"/>
        <item x="304"/>
        <item x="222"/>
        <item x="296"/>
        <item x="410"/>
        <item x="284"/>
        <item x="251"/>
        <item x="97"/>
        <item x="335"/>
        <item x="338"/>
        <item x="124"/>
        <item x="348"/>
        <item x="435"/>
        <item x="78"/>
        <item x="31"/>
        <item x="391"/>
        <item x="388"/>
        <item x="387"/>
        <item x="294"/>
        <item x="421"/>
        <item x="93"/>
        <item x="125"/>
        <item x="290"/>
        <item x="428"/>
        <item x="80"/>
        <item x="216"/>
        <item x="305"/>
        <item x="448"/>
        <item x="152"/>
        <item x="195"/>
        <item x="28"/>
        <item x="135"/>
        <item x="430"/>
        <item x="345"/>
        <item x="406"/>
        <item x="119"/>
        <item x="275"/>
        <item x="359"/>
        <item x="447"/>
        <item x="399"/>
        <item x="407"/>
        <item x="379"/>
        <item x="154"/>
        <item x="449"/>
        <item x="426"/>
        <item x="5"/>
        <item x="194"/>
        <item x="343"/>
        <item x="105"/>
        <item x="353"/>
        <item x="425"/>
        <item x="24"/>
        <item x="228"/>
        <item x="444"/>
        <item x="266"/>
        <item x="208"/>
        <item x="336"/>
        <item x="279"/>
        <item x="417"/>
        <item x="397"/>
        <item x="366"/>
        <item x="76"/>
        <item x="341"/>
        <item x="38"/>
        <item x="429"/>
        <item x="13"/>
        <item x="328"/>
        <item x="52"/>
        <item x="58"/>
        <item x="405"/>
        <item x="67"/>
        <item x="450"/>
        <item x="452"/>
        <item x="218"/>
        <item x="344"/>
        <item x="201"/>
        <item x="416"/>
        <item x="110"/>
        <item x="400"/>
        <item x="408"/>
        <item x="191"/>
        <item x="217"/>
        <item x="433"/>
        <item x="378"/>
        <item x="106"/>
        <item x="55"/>
        <item x="292"/>
        <item x="334"/>
        <item x="364"/>
        <item x="323"/>
        <item x="236"/>
        <item x="440"/>
        <item x="151"/>
        <item x="317"/>
        <item x="272"/>
        <item x="363"/>
        <item x="333"/>
        <item x="337"/>
        <item x="462"/>
        <item x="260"/>
        <item x="256"/>
        <item x="210"/>
        <item x="143"/>
        <item x="339"/>
        <item x="212"/>
        <item x="287"/>
        <item x="94"/>
        <item x="84"/>
        <item x="310"/>
        <item x="463"/>
        <item x="309"/>
        <item x="293"/>
        <item x="264"/>
        <item x="351"/>
        <item x="140"/>
        <item x="386"/>
        <item x="439"/>
        <item x="131"/>
        <item x="357"/>
        <item x="190"/>
        <item x="255"/>
        <item x="464"/>
        <item x="453"/>
        <item x="72"/>
        <item x="249"/>
        <item x="215"/>
        <item x="306"/>
        <item x="206"/>
        <item x="396"/>
        <item x="436"/>
        <item x="325"/>
        <item x="394"/>
        <item x="424"/>
        <item x="122"/>
        <item x="358"/>
        <item x="380"/>
        <item x="211"/>
        <item x="130"/>
        <item x="381"/>
        <item x="418"/>
        <item x="127"/>
        <item x="232"/>
        <item x="187"/>
        <item x="34"/>
        <item x="281"/>
        <item x="383"/>
        <item x="384"/>
        <item x="46"/>
        <item x="111"/>
        <item x="382"/>
        <item x="213"/>
        <item x="409"/>
        <item x="253"/>
        <item x="352"/>
        <item x="415"/>
        <item x="331"/>
        <item x="245"/>
        <item x="427"/>
        <item x="10"/>
        <item x="469"/>
        <item t="default"/>
      </items>
    </pivotField>
    <pivotField axis="axisRow" showAll="0">
      <items count="19">
        <item x="11"/>
        <item x="3"/>
        <item x="9"/>
        <item x="5"/>
        <item x="4"/>
        <item x="12"/>
        <item x="15"/>
        <item x="8"/>
        <item x="1"/>
        <item x="10"/>
        <item x="16"/>
        <item x="14"/>
        <item x="2"/>
        <item x="7"/>
        <item x="6"/>
        <item x="0"/>
        <item x="13"/>
        <item h="1" x="17"/>
        <item t="default"/>
      </items>
    </pivotField>
    <pivotField showAll="0">
      <items count="994">
        <item x="165"/>
        <item x="276"/>
        <item x="813"/>
        <item x="218"/>
        <item x="219"/>
        <item x="163"/>
        <item x="627"/>
        <item x="168"/>
        <item x="271"/>
        <item x="220"/>
        <item x="376"/>
        <item x="807"/>
        <item x="675"/>
        <item x="157"/>
        <item x="161"/>
        <item x="272"/>
        <item x="812"/>
        <item x="268"/>
        <item x="277"/>
        <item x="488"/>
        <item x="776"/>
        <item x="274"/>
        <item x="275"/>
        <item x="148"/>
        <item x="273"/>
        <item x="0"/>
        <item x="489"/>
        <item x="577"/>
        <item x="657"/>
        <item x="109"/>
        <item x="651"/>
        <item x="653"/>
        <item x="674"/>
        <item x="682"/>
        <item x="810"/>
        <item x="283"/>
        <item x="878"/>
        <item x="974"/>
        <item x="767"/>
        <item x="867"/>
        <item x="647"/>
        <item x="535"/>
        <item x="658"/>
        <item x="921"/>
        <item x="768"/>
        <item x="777"/>
        <item x="652"/>
        <item x="654"/>
        <item x="837"/>
        <item x="164"/>
        <item x="190"/>
        <item x="655"/>
        <item x="258"/>
        <item x="259"/>
        <item x="680"/>
        <item x="9"/>
        <item x="835"/>
        <item x="14"/>
        <item x="505"/>
        <item x="628"/>
        <item x="110"/>
        <item x="99"/>
        <item x="656"/>
        <item x="947"/>
        <item x="578"/>
        <item x="690"/>
        <item x="949"/>
        <item x="879"/>
        <item x="952"/>
        <item x="763"/>
        <item x="959"/>
        <item x="827"/>
        <item x="211"/>
        <item x="210"/>
        <item x="59"/>
        <item x="335"/>
        <item x="142"/>
        <item x="809"/>
        <item x="969"/>
        <item x="266"/>
        <item x="333"/>
        <item x="833"/>
        <item x="834"/>
        <item x="873"/>
        <item x="169"/>
        <item x="334"/>
        <item x="966"/>
        <item x="778"/>
        <item x="579"/>
        <item x="629"/>
        <item x="968"/>
        <item x="666"/>
        <item x="635"/>
        <item x="965"/>
        <item x="226"/>
        <item x="668"/>
        <item x="636"/>
        <item x="55"/>
        <item x="976"/>
        <item x="967"/>
        <item x="639"/>
        <item x="670"/>
        <item x="424"/>
        <item x="389"/>
        <item x="836"/>
        <item x="445"/>
        <item x="632"/>
        <item x="537"/>
        <item x="667"/>
        <item x="378"/>
        <item x="97"/>
        <item x="522"/>
        <item x="624"/>
        <item x="145"/>
        <item x="634"/>
        <item x="448"/>
        <item x="101"/>
        <item x="451"/>
        <item x="452"/>
        <item x="869"/>
        <item x="318"/>
        <item x="100"/>
        <item x="321"/>
        <item x="96"/>
        <item x="638"/>
        <item x="526"/>
        <item x="868"/>
        <item x="523"/>
        <item x="692"/>
        <item x="958"/>
        <item x="413"/>
        <item x="371"/>
        <item x="588"/>
        <item x="642"/>
        <item x="269"/>
        <item x="536"/>
        <item x="637"/>
        <item x="377"/>
        <item x="453"/>
        <item x="446"/>
        <item x="379"/>
        <item x="236"/>
        <item x="420"/>
        <item x="580"/>
        <item x="551"/>
        <item x="679"/>
        <item x="678"/>
        <item x="742"/>
        <item x="295"/>
        <item x="60"/>
        <item x="533"/>
        <item x="294"/>
        <item x="534"/>
        <item x="349"/>
        <item x="33"/>
        <item x="525"/>
        <item x="951"/>
        <item x="766"/>
        <item x="196"/>
        <item x="342"/>
        <item x="398"/>
        <item x="350"/>
        <item x="501"/>
        <item x="685"/>
        <item x="865"/>
        <item x="473"/>
        <item x="973"/>
        <item x="972"/>
        <item x="348"/>
        <item x="53"/>
        <item x="347"/>
        <item x="864"/>
        <item x="696"/>
        <item x="587"/>
        <item x="324"/>
        <item x="808"/>
        <item x="267"/>
        <item x="862"/>
        <item x="561"/>
        <item x="282"/>
        <item x="971"/>
        <item x="423"/>
        <item x="975"/>
        <item x="677"/>
        <item x="495"/>
        <item x="590"/>
        <item x="861"/>
        <item x="633"/>
        <item x="499"/>
        <item x="648"/>
        <item x="560"/>
        <item x="676"/>
        <item x="422"/>
        <item x="162"/>
        <item x="866"/>
        <item x="559"/>
        <item x="960"/>
        <item x="447"/>
        <item x="950"/>
        <item x="49"/>
        <item x="860"/>
        <item x="550"/>
        <item x="589"/>
        <item x="493"/>
        <item x="496"/>
        <item x="485"/>
        <item x="771"/>
        <item x="444"/>
        <item x="486"/>
        <item x="500"/>
        <item x="948"/>
        <item x="143"/>
        <item x="474"/>
        <item x="863"/>
        <item x="48"/>
        <item x="107"/>
        <item x="709"/>
        <item x="725"/>
        <item x="724"/>
        <item x="300"/>
        <item x="964"/>
        <item x="671"/>
        <item x="45"/>
        <item x="672"/>
        <item x="770"/>
        <item x="4"/>
        <item x="723"/>
        <item x="804"/>
        <item x="838"/>
        <item x="956"/>
        <item x="684"/>
        <item x="7"/>
        <item x="753"/>
        <item x="754"/>
        <item x="270"/>
        <item x="144"/>
        <item x="772"/>
        <item x="934"/>
        <item x="106"/>
        <item x="32"/>
        <item x="765"/>
        <item x="673"/>
        <item x="440"/>
        <item x="557"/>
        <item x="262"/>
        <item x="15"/>
        <item x="797"/>
        <item x="134"/>
        <item x="694"/>
        <item x="497"/>
        <item x="314"/>
        <item x="125"/>
        <item x="408"/>
        <item x="126"/>
        <item x="250"/>
        <item x="562"/>
        <item x="718"/>
        <item x="498"/>
        <item x="385"/>
        <item x="388"/>
        <item x="136"/>
        <item x="137"/>
        <item x="823"/>
        <item x="546"/>
        <item x="222"/>
        <item x="127"/>
        <item x="695"/>
        <item x="987"/>
        <item x="340"/>
        <item x="484"/>
        <item x="494"/>
        <item x="970"/>
        <item x="341"/>
        <item x="92"/>
        <item x="729"/>
        <item x="842"/>
        <item x="839"/>
        <item x="330"/>
        <item x="691"/>
        <item x="316"/>
        <item x="686"/>
        <item x="583"/>
        <item x="986"/>
        <item x="208"/>
        <item x="203"/>
        <item x="375"/>
        <item x="197"/>
        <item x="374"/>
        <item x="985"/>
        <item x="329"/>
        <item x="317"/>
        <item x="95"/>
        <item x="991"/>
        <item x="112"/>
        <item x="887"/>
        <item x="573"/>
        <item x="166"/>
        <item x="129"/>
        <item x="817"/>
        <item x="576"/>
        <item x="811"/>
        <item x="822"/>
        <item x="450"/>
        <item x="206"/>
        <item x="511"/>
        <item x="788"/>
        <item x="982"/>
        <item x="462"/>
        <item x="463"/>
        <item x="392"/>
        <item x="56"/>
        <item x="235"/>
        <item x="988"/>
        <item x="614"/>
        <item x="769"/>
        <item x="233"/>
        <item x="832"/>
        <item x="529"/>
        <item x="802"/>
        <item x="418"/>
        <item x="207"/>
        <item x="722"/>
        <item x="264"/>
        <item x="829"/>
        <item x="830"/>
        <item x="13"/>
        <item x="799"/>
        <item x="571"/>
        <item x="231"/>
        <item x="311"/>
        <item x="390"/>
        <item x="502"/>
        <item x="531"/>
        <item x="570"/>
        <item x="503"/>
        <item x="530"/>
        <item x="303"/>
        <item x="38"/>
        <item x="575"/>
        <item x="527"/>
        <item x="198"/>
        <item x="242"/>
        <item x="897"/>
        <item x="239"/>
        <item x="898"/>
        <item x="313"/>
        <item x="243"/>
        <item x="310"/>
        <item x="615"/>
        <item x="147"/>
        <item x="47"/>
        <item x="238"/>
        <item x="237"/>
        <item x="199"/>
        <item x="244"/>
        <item x="339"/>
        <item x="926"/>
        <item x="111"/>
        <item x="730"/>
        <item x="816"/>
        <item x="397"/>
        <item x="711"/>
        <item x="556"/>
        <item x="892"/>
        <item x="893"/>
        <item x="487"/>
        <item x="43"/>
        <item x="831"/>
        <item x="549"/>
        <item x="851"/>
        <item x="469"/>
        <item x="18"/>
        <item x="751"/>
        <item x="541"/>
        <item x="396"/>
        <item x="889"/>
        <item x="697"/>
        <item x="698"/>
        <item x="699"/>
        <item x="470"/>
        <item x="764"/>
        <item x="572"/>
        <item x="19"/>
        <item x="383"/>
        <item x="384"/>
        <item x="584"/>
        <item x="888"/>
        <item x="301"/>
        <item x="555"/>
        <item x="538"/>
        <item x="16"/>
        <item x="230"/>
        <item x="890"/>
        <item x="891"/>
        <item x="954"/>
        <item x="800"/>
        <item x="801"/>
        <item x="848"/>
        <item x="847"/>
        <item x="661"/>
        <item x="662"/>
        <item x="285"/>
        <item x="409"/>
        <item x="240"/>
        <item x="539"/>
        <item x="925"/>
        <item x="410"/>
        <item x="98"/>
        <item x="286"/>
        <item x="411"/>
        <item x="412"/>
        <item x="44"/>
        <item x="660"/>
        <item x="663"/>
        <item x="953"/>
        <item x="455"/>
        <item x="906"/>
        <item x="17"/>
        <item x="288"/>
        <item x="803"/>
        <item x="886"/>
        <item x="284"/>
        <item x="907"/>
        <item x="908"/>
        <item x="37"/>
        <item x="417"/>
        <item x="540"/>
        <item x="712"/>
        <item x="927"/>
        <item x="885"/>
        <item x="78"/>
        <item x="302"/>
        <item x="646"/>
        <item x="905"/>
        <item x="386"/>
        <item x="936"/>
        <item x="327"/>
        <item x="205"/>
        <item x="626"/>
        <item x="84"/>
        <item x="719"/>
        <item x="720"/>
        <item x="563"/>
        <item x="849"/>
        <item x="82"/>
        <item x="558"/>
        <item x="416"/>
        <item x="200"/>
        <item x="265"/>
        <item x="290"/>
        <item x="81"/>
        <item x="312"/>
        <item x="353"/>
        <item x="752"/>
        <item x="151"/>
        <item x="289"/>
        <item x="354"/>
        <item x="472"/>
        <item x="46"/>
        <item x="805"/>
        <item x="543"/>
        <item x="75"/>
        <item x="542"/>
        <item x="616"/>
        <item x="791"/>
        <item x="935"/>
        <item x="855"/>
        <item x="30"/>
        <item x="581"/>
        <item x="29"/>
        <item x="152"/>
        <item x="479"/>
        <item x="909"/>
        <item x="798"/>
        <item x="393"/>
        <item x="456"/>
        <item x="263"/>
        <item x="457"/>
        <item x="394"/>
        <item x="89"/>
        <item x="850"/>
        <item x="910"/>
        <item x="366"/>
        <item x="367"/>
        <item x="900"/>
        <item x="961"/>
        <item x="355"/>
        <item x="594"/>
        <item x="223"/>
        <item x="585"/>
        <item x="544"/>
        <item x="214"/>
        <item x="215"/>
        <item x="216"/>
        <item x="395"/>
        <item x="83"/>
        <item x="775"/>
        <item x="21"/>
        <item x="939"/>
        <item x="683"/>
        <item x="731"/>
        <item x="108"/>
        <item x="824"/>
        <item x="12"/>
        <item x="625"/>
        <item x="460"/>
        <item x="595"/>
        <item x="978"/>
        <item x="825"/>
        <item x="518"/>
        <item x="54"/>
        <item x="22"/>
        <item x="167"/>
        <item x="20"/>
        <item x="877"/>
        <item x="641"/>
        <item x="369"/>
        <item x="225"/>
        <item x="913"/>
        <item x="820"/>
        <item x="57"/>
        <item x="650"/>
        <item x="192"/>
        <item x="191"/>
        <item x="373"/>
        <item x="461"/>
        <item x="291"/>
        <item x="520"/>
        <item x="189"/>
        <item x="963"/>
        <item x="441"/>
        <item x="58"/>
        <item x="27"/>
        <item x="287"/>
        <item x="79"/>
        <item x="232"/>
        <item x="73"/>
        <item x="911"/>
        <item x="701"/>
        <item x="50"/>
        <item x="937"/>
        <item x="356"/>
        <item x="193"/>
        <item x="194"/>
        <item x="737"/>
        <item x="246"/>
        <item x="649"/>
        <item x="944"/>
        <item x="945"/>
        <item x="640"/>
        <item x="217"/>
        <item x="331"/>
        <item x="918"/>
        <item x="255"/>
        <item x="749"/>
        <item x="919"/>
        <item x="745"/>
        <item x="467"/>
        <item x="241"/>
        <item x="707"/>
        <item x="515"/>
        <item x="514"/>
        <item x="916"/>
        <item x="938"/>
        <item x="605"/>
        <item x="606"/>
        <item x="490"/>
        <item x="31"/>
        <item x="607"/>
        <item x="932"/>
        <item x="920"/>
        <item x="716"/>
        <item x="717"/>
        <item x="681"/>
        <item x="618"/>
        <item x="734"/>
        <item x="896"/>
        <item x="608"/>
        <item x="421"/>
        <item x="814"/>
        <item x="922"/>
        <item x="884"/>
        <item x="856"/>
        <item x="601"/>
        <item x="516"/>
        <item x="414"/>
        <item x="733"/>
        <item x="158"/>
        <item x="815"/>
        <item x="517"/>
        <item x="593"/>
        <item x="212"/>
        <item x="114"/>
        <item x="292"/>
        <item x="852"/>
        <item x="468"/>
        <item x="609"/>
        <item x="102"/>
        <item x="368"/>
        <item x="88"/>
        <item x="103"/>
        <item x="104"/>
        <item x="160"/>
        <item x="315"/>
        <item x="115"/>
        <item x="159"/>
        <item x="172"/>
        <item x="702"/>
        <item x="727"/>
        <item x="128"/>
        <item x="713"/>
        <item x="130"/>
        <item x="131"/>
        <item x="245"/>
        <item x="617"/>
        <item x="28"/>
        <item x="899"/>
        <item x="774"/>
        <item x="598"/>
        <item x="989"/>
        <item x="599"/>
        <item x="600"/>
        <item x="693"/>
        <item x="251"/>
        <item x="224"/>
        <item x="425"/>
        <item x="150"/>
        <item x="506"/>
        <item x="34"/>
        <item x="741"/>
        <item x="990"/>
        <item x="933"/>
        <item x="480"/>
        <item x="806"/>
        <item x="67"/>
        <item x="726"/>
        <item x="299"/>
        <item x="51"/>
        <item x="332"/>
        <item x="894"/>
        <item x="476"/>
        <item x="52"/>
        <item x="256"/>
        <item x="336"/>
        <item x="171"/>
        <item x="41"/>
        <item x="364"/>
        <item x="116"/>
        <item x="477"/>
        <item x="234"/>
        <item x="25"/>
        <item x="519"/>
        <item x="71"/>
        <item x="755"/>
        <item x="604"/>
        <item x="943"/>
        <item x="881"/>
        <item x="928"/>
        <item x="117"/>
        <item x="492"/>
        <item x="93"/>
        <item x="337"/>
        <item x="338"/>
        <item x="94"/>
        <item x="391"/>
        <item x="36"/>
        <item x="915"/>
        <item x="957"/>
        <item x="507"/>
        <item x="687"/>
        <item x="80"/>
        <item x="513"/>
        <item x="124"/>
        <item x="387"/>
        <item x="779"/>
        <item x="365"/>
        <item x="508"/>
        <item x="40"/>
        <item x="613"/>
        <item x="69"/>
        <item x="70"/>
        <item x="901"/>
        <item x="119"/>
        <item x="120"/>
        <item x="880"/>
        <item x="91"/>
        <item x="436"/>
        <item x="439"/>
        <item x="902"/>
        <item x="509"/>
        <item x="510"/>
        <item x="491"/>
        <item x="857"/>
        <item x="228"/>
        <item x="442"/>
        <item x="547"/>
        <item x="280"/>
        <item x="319"/>
        <item x="279"/>
        <item x="784"/>
        <item x="955"/>
        <item x="773"/>
        <item x="320"/>
        <item x="983"/>
        <item x="643"/>
        <item x="61"/>
        <item x="929"/>
        <item x="443"/>
        <item x="149"/>
        <item x="170"/>
        <item x="437"/>
        <item x="62"/>
        <item x="87"/>
        <item x="644"/>
        <item x="118"/>
        <item x="620"/>
        <item x="545"/>
        <item x="582"/>
        <item x="438"/>
        <item x="90"/>
        <item x="840"/>
        <item x="917"/>
        <item x="372"/>
        <item x="621"/>
        <item x="602"/>
        <item x="962"/>
        <item x="942"/>
        <item x="796"/>
        <item x="257"/>
        <item x="121"/>
        <item x="122"/>
        <item x="795"/>
        <item x="401"/>
        <item x="415"/>
        <item x="478"/>
        <item x="308"/>
        <item x="700"/>
        <item x="940"/>
        <item x="941"/>
        <item x="345"/>
        <item x="736"/>
        <item x="187"/>
        <item x="792"/>
        <item x="178"/>
        <item x="352"/>
        <item x="895"/>
        <item x="201"/>
        <item x="202"/>
        <item x="399"/>
        <item x="63"/>
        <item x="5"/>
        <item x="984"/>
        <item x="179"/>
        <item x="177"/>
        <item x="173"/>
        <item x="68"/>
        <item x="64"/>
        <item x="739"/>
        <item x="785"/>
        <item x="645"/>
        <item x="400"/>
        <item x="923"/>
        <item x="738"/>
        <item x="459"/>
        <item x="930"/>
        <item x="659"/>
        <item x="912"/>
        <item x="710"/>
        <item x="793"/>
        <item x="843"/>
        <item x="426"/>
        <item x="427"/>
        <item x="323"/>
        <item x="924"/>
        <item x="6"/>
        <item x="304"/>
        <item x="305"/>
        <item x="180"/>
        <item x="715"/>
        <item x="735"/>
        <item x="429"/>
        <item x="325"/>
        <item x="981"/>
        <item x="174"/>
        <item x="326"/>
        <item x="611"/>
        <item x="175"/>
        <item x="882"/>
        <item x="204"/>
        <item x="524"/>
        <item x="794"/>
        <item x="780"/>
        <item x="430"/>
        <item x="213"/>
        <item x="140"/>
        <item x="475"/>
        <item x="405"/>
        <item x="435"/>
        <item x="248"/>
        <item x="406"/>
        <item x="708"/>
        <item x="903"/>
        <item x="154"/>
        <item x="186"/>
        <item x="407"/>
        <item x="946"/>
        <item x="980"/>
        <item x="471"/>
        <item x="592"/>
        <item x="521"/>
        <item x="176"/>
        <item x="113"/>
        <item x="883"/>
        <item x="714"/>
        <item x="351"/>
        <item x="322"/>
        <item x="278"/>
        <item x="221"/>
        <item x="870"/>
        <item x="209"/>
        <item x="622"/>
        <item x="195"/>
        <item x="357"/>
        <item x="419"/>
        <item x="328"/>
        <item x="703"/>
        <item x="565"/>
        <item x="434"/>
        <item x="979"/>
        <item x="512"/>
        <item x="569"/>
        <item x="10"/>
        <item x="74"/>
        <item x="665"/>
        <item x="135"/>
        <item x="123"/>
        <item x="146"/>
        <item x="504"/>
        <item x="853"/>
        <item x="756"/>
        <item x="458"/>
        <item x="564"/>
        <item x="610"/>
        <item x="858"/>
        <item x="554"/>
        <item x="253"/>
        <item x="184"/>
        <item x="183"/>
        <item x="688"/>
        <item x="464"/>
        <item x="787"/>
        <item x="748"/>
        <item x="721"/>
        <item x="344"/>
        <item x="3"/>
        <item x="761"/>
        <item x="786"/>
        <item x="664"/>
        <item x="586"/>
        <item x="358"/>
        <item x="789"/>
        <item x="841"/>
        <item x="790"/>
        <item x="728"/>
        <item x="382"/>
        <item x="689"/>
        <item x="141"/>
        <item x="404"/>
        <item x="465"/>
        <item x="72"/>
        <item x="254"/>
        <item x="153"/>
        <item x="11"/>
        <item x="732"/>
        <item x="139"/>
        <item x="597"/>
        <item x="156"/>
        <item x="359"/>
        <item x="876"/>
        <item x="155"/>
        <item x="819"/>
        <item x="261"/>
        <item x="247"/>
        <item x="402"/>
        <item x="623"/>
        <item x="133"/>
        <item x="669"/>
        <item x="567"/>
        <item x="132"/>
        <item x="138"/>
        <item x="874"/>
        <item x="875"/>
        <item x="568"/>
        <item x="403"/>
        <item x="482"/>
        <item x="296"/>
        <item x="260"/>
        <item x="596"/>
        <item x="904"/>
        <item x="432"/>
        <item x="566"/>
        <item x="532"/>
        <item x="297"/>
        <item x="380"/>
        <item x="181"/>
        <item x="182"/>
        <item x="744"/>
        <item x="552"/>
        <item x="528"/>
        <item x="431"/>
        <item x="553"/>
        <item x="252"/>
        <item x="844"/>
        <item x="26"/>
        <item x="846"/>
        <item x="630"/>
        <item x="185"/>
        <item x="746"/>
        <item x="631"/>
        <item x="762"/>
        <item x="747"/>
        <item x="603"/>
        <item x="483"/>
        <item x="821"/>
        <item x="35"/>
        <item x="548"/>
        <item x="466"/>
        <item x="854"/>
        <item x="76"/>
        <item x="759"/>
        <item x="363"/>
        <item x="783"/>
        <item x="227"/>
        <item x="750"/>
        <item x="481"/>
        <item x="758"/>
        <item x="249"/>
        <item x="188"/>
        <item x="612"/>
        <item x="1"/>
        <item x="931"/>
        <item x="619"/>
        <item x="105"/>
        <item x="433"/>
        <item x="77"/>
        <item x="229"/>
        <item x="706"/>
        <item x="760"/>
        <item x="705"/>
        <item x="85"/>
        <item x="454"/>
        <item x="298"/>
        <item x="360"/>
        <item x="66"/>
        <item x="914"/>
        <item x="845"/>
        <item x="574"/>
        <item x="757"/>
        <item x="362"/>
        <item x="826"/>
        <item x="2"/>
        <item x="346"/>
        <item x="381"/>
        <item x="24"/>
        <item x="343"/>
        <item x="743"/>
        <item x="828"/>
        <item x="859"/>
        <item x="23"/>
        <item x="704"/>
        <item x="361"/>
        <item x="871"/>
        <item x="8"/>
        <item x="65"/>
        <item x="42"/>
        <item x="370"/>
        <item x="818"/>
        <item x="782"/>
        <item x="281"/>
        <item x="428"/>
        <item x="449"/>
        <item x="977"/>
        <item x="781"/>
        <item x="872"/>
        <item x="293"/>
        <item x="309"/>
        <item x="591"/>
        <item x="306"/>
        <item x="86"/>
        <item x="307"/>
        <item x="740"/>
        <item x="39"/>
        <item x="992"/>
        <item t="default"/>
      </items>
    </pivotField>
    <pivotField dataField="1" showAll="0"/>
    <pivotField showAll="0">
      <items count="9">
        <item x="4"/>
        <item x="0"/>
        <item x="3"/>
        <item x="1"/>
        <item x="5"/>
        <item x="2"/>
        <item x="6"/>
        <item h="1" x="7"/>
        <item t="default"/>
      </items>
    </pivotField>
    <pivotField showAll="0"/>
    <pivotField showAll="0"/>
    <pivotField showAll="0"/>
    <pivotField showAll="0">
      <items count="7">
        <item x="2"/>
        <item x="0"/>
        <item x="4"/>
        <item x="1"/>
        <item x="3"/>
        <item x="5"/>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HourOfDay" fld="9" baseField="0"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665065-D034-4372-BBBC-7C0E0CF03A3A}"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0:B17" firstHeaderRow="1" firstDataRow="1" firstDataCol="1"/>
  <pivotFields count="15">
    <pivotField dataField="1" showAll="0"/>
    <pivotField showAll="0">
      <items count="5">
        <item x="2"/>
        <item x="0"/>
        <item x="1"/>
        <item n="Null" h="1" x="3"/>
        <item t="default"/>
      </items>
    </pivotField>
    <pivotField axis="axisRow" showAll="0">
      <items count="9">
        <item h="1" x="6"/>
        <item x="4"/>
        <item x="0"/>
        <item x="2"/>
        <item x="1"/>
        <item x="5"/>
        <item x="3"/>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v="1"/>
    </i>
    <i>
      <x v="2"/>
    </i>
    <i>
      <x v="3"/>
    </i>
    <i>
      <x v="4"/>
    </i>
    <i>
      <x v="5"/>
    </i>
    <i>
      <x v="6"/>
    </i>
    <i t="grand">
      <x/>
    </i>
  </rowItems>
  <colItems count="1">
    <i/>
  </colItems>
  <dataFields count="1">
    <dataField name="Sum of UserID_Profile" fld="0" baseField="0" baseItem="0" numFmtId="3"/>
  </dataFields>
  <formats count="1">
    <format dxfId="39">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1"/>
          </reference>
        </references>
      </pivotArea>
    </chartFormat>
    <chartFormat chart="8" format="2">
      <pivotArea type="data" outline="0" fieldPosition="0">
        <references count="2">
          <reference field="4294967294" count="1" selected="0">
            <x v="0"/>
          </reference>
          <reference field="2" count="1" selected="0">
            <x v="2"/>
          </reference>
        </references>
      </pivotArea>
    </chartFormat>
    <chartFormat chart="8" format="3">
      <pivotArea type="data" outline="0" fieldPosition="0">
        <references count="2">
          <reference field="4294967294" count="1" selected="0">
            <x v="0"/>
          </reference>
          <reference field="2" count="1" selected="0">
            <x v="3"/>
          </reference>
        </references>
      </pivotArea>
    </chartFormat>
    <chartFormat chart="8" format="4">
      <pivotArea type="data" outline="0" fieldPosition="0">
        <references count="2">
          <reference field="4294967294" count="1" selected="0">
            <x v="0"/>
          </reference>
          <reference field="2" count="1" selected="0">
            <x v="4"/>
          </reference>
        </references>
      </pivotArea>
    </chartFormat>
    <chartFormat chart="8" format="5">
      <pivotArea type="data" outline="0" fieldPosition="0">
        <references count="2">
          <reference field="4294967294" count="1" selected="0">
            <x v="0"/>
          </reference>
          <reference field="2" count="1" selected="0">
            <x v="5"/>
          </reference>
        </references>
      </pivotArea>
    </chartFormat>
    <chartFormat chart="8" format="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2" xr10:uid="{D317FB0F-26DE-4863-82A9-003DE119AAC2}" sourceName="Channel2">
  <pivotTables>
    <pivotTable tabId="2" name="PivotTable10"/>
  </pivotTables>
  <data>
    <tabular pivotCacheId="1942947516">
      <items count="18">
        <i x="11"/>
        <i x="3"/>
        <i x="9"/>
        <i x="5"/>
        <i x="4" s="1"/>
        <i x="12"/>
        <i x="15"/>
        <i x="8"/>
        <i x="1"/>
        <i x="10"/>
        <i x="16"/>
        <i x="14"/>
        <i x="2"/>
        <i x="7"/>
        <i x="6"/>
        <i x="0"/>
        <i x="13"/>
        <i x="1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2" xr10:uid="{6766C69D-EF6F-4014-82AC-9B81F30FB758}" cache="Slicer_Channel2" caption="Channel2" startItem="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582F-640D-48EE-9C30-E87CF13FF934}">
  <dimension ref="A3:I183"/>
  <sheetViews>
    <sheetView tabSelected="1" topLeftCell="A47" workbookViewId="0">
      <selection activeCell="A185" sqref="A185:B194"/>
    </sheetView>
  </sheetViews>
  <sheetFormatPr defaultRowHeight="14.5" x14ac:dyDescent="0.35"/>
  <cols>
    <col min="1" max="1" width="23.453125" bestFit="1" customWidth="1"/>
    <col min="2" max="2" width="19.08984375" bestFit="1" customWidth="1"/>
    <col min="3" max="4" width="5.1796875" bestFit="1" customWidth="1"/>
    <col min="5" max="5" width="10.36328125" bestFit="1" customWidth="1"/>
    <col min="6" max="6" width="19.08984375" bestFit="1" customWidth="1"/>
    <col min="7" max="7" width="15.90625" customWidth="1"/>
    <col min="8" max="8" width="12" bestFit="1" customWidth="1"/>
    <col min="9" max="9" width="14.90625" bestFit="1" customWidth="1"/>
    <col min="10" max="10" width="24.08984375" bestFit="1" customWidth="1"/>
    <col min="11" max="11" width="6.90625" bestFit="1" customWidth="1"/>
    <col min="12" max="12" width="3.36328125" bestFit="1" customWidth="1"/>
    <col min="13" max="13" width="5.81640625" bestFit="1" customWidth="1"/>
    <col min="14" max="14" width="7.36328125" bestFit="1" customWidth="1"/>
    <col min="15" max="15" width="14.26953125" bestFit="1" customWidth="1"/>
    <col min="16" max="16" width="19.81640625" bestFit="1" customWidth="1"/>
    <col min="17" max="17" width="7.7265625" bestFit="1" customWidth="1"/>
    <col min="18" max="18" width="4.90625" bestFit="1" customWidth="1"/>
    <col min="19" max="19" width="10.36328125" bestFit="1" customWidth="1"/>
    <col min="20" max="22" width="8.54296875" bestFit="1" customWidth="1"/>
    <col min="23" max="23" width="10.1796875" bestFit="1" customWidth="1"/>
    <col min="24" max="24" width="10.7265625" bestFit="1" customWidth="1"/>
  </cols>
  <sheetData>
    <row r="3" spans="1:2" x14ac:dyDescent="0.35">
      <c r="A3" s="2" t="s">
        <v>1535</v>
      </c>
      <c r="B3" t="s">
        <v>1538</v>
      </c>
    </row>
    <row r="4" spans="1:2" x14ac:dyDescent="0.35">
      <c r="A4" s="3" t="s">
        <v>38</v>
      </c>
      <c r="B4" s="4">
        <v>84842548</v>
      </c>
    </row>
    <row r="5" spans="1:2" x14ac:dyDescent="0.35">
      <c r="A5" s="3" t="s">
        <v>15</v>
      </c>
      <c r="B5" s="4">
        <v>836815691</v>
      </c>
    </row>
    <row r="6" spans="1:2" x14ac:dyDescent="0.35">
      <c r="A6" s="3" t="s">
        <v>26</v>
      </c>
      <c r="B6" s="4">
        <v>14194868</v>
      </c>
    </row>
    <row r="7" spans="1:2" x14ac:dyDescent="0.35">
      <c r="A7" s="3" t="s">
        <v>1536</v>
      </c>
      <c r="B7" s="4">
        <v>935853107</v>
      </c>
    </row>
    <row r="10" spans="1:2" x14ac:dyDescent="0.35">
      <c r="A10" s="2" t="s">
        <v>1535</v>
      </c>
      <c r="B10" t="s">
        <v>1538</v>
      </c>
    </row>
    <row r="11" spans="1:2" x14ac:dyDescent="0.35">
      <c r="A11" s="3" t="s">
        <v>78</v>
      </c>
      <c r="B11" s="4">
        <v>405928122</v>
      </c>
    </row>
    <row r="12" spans="1:2" x14ac:dyDescent="0.35">
      <c r="A12" s="3" t="s">
        <v>16</v>
      </c>
      <c r="B12" s="4">
        <v>227851834</v>
      </c>
    </row>
    <row r="13" spans="1:2" x14ac:dyDescent="0.35">
      <c r="A13" s="3" t="s">
        <v>34</v>
      </c>
      <c r="B13" s="4">
        <v>160960140</v>
      </c>
    </row>
    <row r="14" spans="1:2" x14ac:dyDescent="0.35">
      <c r="A14" s="3" t="s">
        <v>26</v>
      </c>
      <c r="B14" s="4">
        <v>56302030</v>
      </c>
    </row>
    <row r="15" spans="1:2" x14ac:dyDescent="0.35">
      <c r="A15" s="3" t="s">
        <v>129</v>
      </c>
      <c r="B15" s="4">
        <v>6460403</v>
      </c>
    </row>
    <row r="16" spans="1:2" x14ac:dyDescent="0.35">
      <c r="A16" s="3" t="s">
        <v>39</v>
      </c>
      <c r="B16" s="4">
        <v>75944100</v>
      </c>
    </row>
    <row r="17" spans="1:3" x14ac:dyDescent="0.35">
      <c r="A17" s="3" t="s">
        <v>1536</v>
      </c>
      <c r="B17" s="4">
        <v>933446629</v>
      </c>
    </row>
    <row r="19" spans="1:3" x14ac:dyDescent="0.35">
      <c r="A19" s="2" t="s">
        <v>1535</v>
      </c>
      <c r="B19" t="s">
        <v>1538</v>
      </c>
    </row>
    <row r="20" spans="1:3" x14ac:dyDescent="0.35">
      <c r="A20" s="3" t="s">
        <v>35</v>
      </c>
      <c r="B20" s="4">
        <v>320376539</v>
      </c>
      <c r="C20" s="7">
        <f>GETPIVOTDATA("UserID_Profile",$A$19,"Province","Gauteng")/GETPIVOTDATA("UserID_Profile",$A$19)</f>
        <v>0.34233635236517945</v>
      </c>
    </row>
    <row r="21" spans="1:3" x14ac:dyDescent="0.35">
      <c r="A21" s="3" t="s">
        <v>17</v>
      </c>
      <c r="B21" s="4">
        <v>218724545</v>
      </c>
      <c r="C21" s="7">
        <f>GETPIVOTDATA("UserID_Profile",$A$19,"Province","Western Cape")/GETPIVOTDATA("UserID_Profile",$A$19)</f>
        <v>0.23371674824177294</v>
      </c>
    </row>
    <row r="22" spans="1:3" x14ac:dyDescent="0.35">
      <c r="A22" s="3" t="s">
        <v>64</v>
      </c>
      <c r="B22" s="4">
        <v>94269932</v>
      </c>
      <c r="C22" s="7">
        <f>GETPIVOTDATA("UserID_Profile",$A$19,"Province","Kwazulu Natal")/GETPIVOTDATA("UserID_Profile",$A$19)</f>
        <v>0.10073154781971569</v>
      </c>
    </row>
    <row r="23" spans="1:3" x14ac:dyDescent="0.35">
      <c r="A23" s="3" t="s">
        <v>75</v>
      </c>
      <c r="B23" s="4">
        <v>80280474</v>
      </c>
      <c r="C23" s="7">
        <f>GETPIVOTDATA("UserID_Profile",$A$19,"Province","Mpumalanga")/GETPIVOTDATA("UserID_Profile",$A$19)</f>
        <v>8.5783199734571158E-2</v>
      </c>
    </row>
    <row r="24" spans="1:3" x14ac:dyDescent="0.35">
      <c r="A24" s="3" t="s">
        <v>134</v>
      </c>
      <c r="B24" s="4">
        <v>70469848</v>
      </c>
      <c r="C24" s="7">
        <f>GETPIVOTDATA("UserID_Profile",$A$19,"Province","Limpopo")/GETPIVOTDATA("UserID_Profile",$A$19)</f>
        <v>7.5300116517110632E-2</v>
      </c>
    </row>
    <row r="25" spans="1:3" x14ac:dyDescent="0.35">
      <c r="A25" s="3" t="s">
        <v>45</v>
      </c>
      <c r="B25" s="4">
        <v>62551208</v>
      </c>
      <c r="C25" s="7">
        <f>GETPIVOTDATA("UserID_Profile",$A$19,"Province","Eastern Cape")/GETPIVOTDATA("UserID_Profile",$A$19)</f>
        <v>6.683870313848303E-2</v>
      </c>
    </row>
    <row r="26" spans="1:3" x14ac:dyDescent="0.35">
      <c r="A26" s="3" t="s">
        <v>195</v>
      </c>
      <c r="B26" s="4">
        <v>38132615</v>
      </c>
      <c r="C26" s="7"/>
    </row>
    <row r="27" spans="1:3" x14ac:dyDescent="0.35">
      <c r="A27" s="3" t="s">
        <v>335</v>
      </c>
      <c r="B27" s="4">
        <v>27276563</v>
      </c>
    </row>
    <row r="28" spans="1:3" x14ac:dyDescent="0.35">
      <c r="A28" s="3" t="s">
        <v>26</v>
      </c>
      <c r="B28" s="4">
        <v>14194868</v>
      </c>
    </row>
    <row r="29" spans="1:3" x14ac:dyDescent="0.35">
      <c r="A29" s="3" t="s">
        <v>860</v>
      </c>
      <c r="B29" s="4">
        <v>9576515</v>
      </c>
    </row>
    <row r="30" spans="1:3" x14ac:dyDescent="0.35">
      <c r="A30" s="3" t="s">
        <v>1536</v>
      </c>
      <c r="B30" s="4">
        <v>935853107</v>
      </c>
    </row>
    <row r="32" spans="1:3" x14ac:dyDescent="0.35">
      <c r="A32" s="2" t="s">
        <v>1535</v>
      </c>
      <c r="B32" t="s">
        <v>1538</v>
      </c>
    </row>
    <row r="33" spans="1:2" x14ac:dyDescent="0.35">
      <c r="A33" s="3" t="s">
        <v>28</v>
      </c>
      <c r="B33" s="4">
        <v>129710937</v>
      </c>
    </row>
    <row r="34" spans="1:2" x14ac:dyDescent="0.35">
      <c r="A34" s="3" t="s">
        <v>54</v>
      </c>
      <c r="B34" s="4">
        <v>109983325</v>
      </c>
    </row>
    <row r="35" spans="1:2" x14ac:dyDescent="0.35">
      <c r="A35" s="3" t="s">
        <v>106</v>
      </c>
      <c r="B35" s="4">
        <v>85286955</v>
      </c>
    </row>
    <row r="36" spans="1:2" x14ac:dyDescent="0.35">
      <c r="A36" s="3" t="s">
        <v>51</v>
      </c>
      <c r="B36" s="4">
        <v>83386820</v>
      </c>
    </row>
    <row r="37" spans="1:2" x14ac:dyDescent="0.35">
      <c r="A37" s="3" t="s">
        <v>66</v>
      </c>
      <c r="B37" s="4">
        <v>66814829</v>
      </c>
    </row>
    <row r="38" spans="1:2" x14ac:dyDescent="0.35">
      <c r="A38" s="3" t="s">
        <v>116</v>
      </c>
      <c r="B38" s="4">
        <v>38209073</v>
      </c>
    </row>
    <row r="39" spans="1:2" x14ac:dyDescent="0.35">
      <c r="A39" s="3" t="s">
        <v>91</v>
      </c>
      <c r="B39" s="4">
        <v>21153283</v>
      </c>
    </row>
    <row r="40" spans="1:2" x14ac:dyDescent="0.35">
      <c r="A40" s="3" t="s">
        <v>225</v>
      </c>
      <c r="B40" s="4">
        <v>11072369</v>
      </c>
    </row>
    <row r="41" spans="1:2" x14ac:dyDescent="0.35">
      <c r="A41" s="3" t="s">
        <v>251</v>
      </c>
      <c r="B41" s="4">
        <v>8905562</v>
      </c>
    </row>
    <row r="42" spans="1:2" x14ac:dyDescent="0.35">
      <c r="A42" s="3" t="s">
        <v>97</v>
      </c>
      <c r="B42" s="4">
        <v>7054269</v>
      </c>
    </row>
    <row r="43" spans="1:2" x14ac:dyDescent="0.35">
      <c r="A43" s="3" t="s">
        <v>102</v>
      </c>
      <c r="B43" s="4">
        <v>4435508</v>
      </c>
    </row>
    <row r="44" spans="1:2" x14ac:dyDescent="0.35">
      <c r="A44" s="3" t="s">
        <v>669</v>
      </c>
      <c r="B44" s="4">
        <v>2468852</v>
      </c>
    </row>
    <row r="45" spans="1:2" x14ac:dyDescent="0.35">
      <c r="A45" s="3" t="s">
        <v>1536</v>
      </c>
      <c r="B45" s="4">
        <v>568481782</v>
      </c>
    </row>
    <row r="52" spans="1:7" x14ac:dyDescent="0.35">
      <c r="A52" s="2" t="s">
        <v>1537</v>
      </c>
    </row>
    <row r="53" spans="1:7" x14ac:dyDescent="0.35">
      <c r="B53" t="s">
        <v>44</v>
      </c>
      <c r="C53" t="s">
        <v>25</v>
      </c>
      <c r="D53" t="s">
        <v>104</v>
      </c>
      <c r="E53" t="s">
        <v>33</v>
      </c>
      <c r="F53" t="s">
        <v>58</v>
      </c>
      <c r="G53" t="s">
        <v>1536</v>
      </c>
    </row>
    <row r="54" spans="1:7" x14ac:dyDescent="0.35">
      <c r="A54" s="3" t="s">
        <v>71</v>
      </c>
      <c r="B54" s="4">
        <v>921</v>
      </c>
      <c r="C54" s="4">
        <v>758</v>
      </c>
      <c r="D54" s="4">
        <v>45</v>
      </c>
      <c r="E54" s="4">
        <v>348</v>
      </c>
      <c r="F54" s="4">
        <v>14</v>
      </c>
      <c r="G54" s="4">
        <v>2086</v>
      </c>
    </row>
    <row r="55" spans="1:7" x14ac:dyDescent="0.35">
      <c r="A55" s="3" t="s">
        <v>19</v>
      </c>
      <c r="B55" s="4">
        <v>481</v>
      </c>
      <c r="C55" s="4">
        <v>719</v>
      </c>
      <c r="D55" s="4">
        <v>157</v>
      </c>
      <c r="E55" s="4">
        <v>211</v>
      </c>
      <c r="F55" s="4">
        <v>19</v>
      </c>
      <c r="G55" s="4">
        <v>1587</v>
      </c>
    </row>
    <row r="56" spans="1:7" x14ac:dyDescent="0.35">
      <c r="A56" s="3" t="s">
        <v>54</v>
      </c>
      <c r="B56" s="4">
        <v>594</v>
      </c>
      <c r="C56" s="4">
        <v>509</v>
      </c>
      <c r="D56" s="4">
        <v>67</v>
      </c>
      <c r="E56" s="4">
        <v>290</v>
      </c>
      <c r="F56" s="4">
        <v>44</v>
      </c>
      <c r="G56" s="4">
        <v>1504</v>
      </c>
    </row>
    <row r="57" spans="1:7" x14ac:dyDescent="0.35">
      <c r="A57" s="3" t="s">
        <v>28</v>
      </c>
      <c r="B57" s="4">
        <v>913</v>
      </c>
      <c r="C57" s="4">
        <v>76</v>
      </c>
      <c r="D57" s="4">
        <v>22</v>
      </c>
      <c r="E57" s="4">
        <v>400</v>
      </c>
      <c r="F57" s="4">
        <v>4</v>
      </c>
      <c r="G57" s="4">
        <v>1415</v>
      </c>
    </row>
    <row r="58" spans="1:7" x14ac:dyDescent="0.35">
      <c r="A58" s="3" t="s">
        <v>86</v>
      </c>
      <c r="B58" s="4">
        <v>404</v>
      </c>
      <c r="C58" s="4">
        <v>636</v>
      </c>
      <c r="D58" s="4">
        <v>23</v>
      </c>
      <c r="E58" s="4">
        <v>150</v>
      </c>
      <c r="F58" s="4">
        <v>26</v>
      </c>
      <c r="G58" s="4">
        <v>1239</v>
      </c>
    </row>
    <row r="59" spans="1:7" x14ac:dyDescent="0.35">
      <c r="A59" s="3" t="s">
        <v>51</v>
      </c>
      <c r="B59" s="4">
        <v>318</v>
      </c>
      <c r="C59" s="4">
        <v>546</v>
      </c>
      <c r="D59" s="4">
        <v>113</v>
      </c>
      <c r="E59" s="4">
        <v>218</v>
      </c>
      <c r="F59" s="4">
        <v>8</v>
      </c>
      <c r="G59" s="4">
        <v>1203</v>
      </c>
    </row>
    <row r="60" spans="1:7" x14ac:dyDescent="0.35">
      <c r="A60" s="3" t="s">
        <v>106</v>
      </c>
      <c r="B60" s="4">
        <v>406</v>
      </c>
      <c r="C60" s="4">
        <v>493</v>
      </c>
      <c r="D60" s="4">
        <v>44</v>
      </c>
      <c r="E60" s="4">
        <v>188</v>
      </c>
      <c r="F60" s="4">
        <v>10</v>
      </c>
      <c r="G60" s="4">
        <v>1141</v>
      </c>
    </row>
    <row r="61" spans="1:7" x14ac:dyDescent="0.35">
      <c r="A61" s="3" t="s">
        <v>66</v>
      </c>
      <c r="B61" s="4">
        <v>349</v>
      </c>
      <c r="C61" s="4">
        <v>511</v>
      </c>
      <c r="D61" s="4">
        <v>111</v>
      </c>
      <c r="E61" s="4">
        <v>139</v>
      </c>
      <c r="F61" s="4">
        <v>3</v>
      </c>
      <c r="G61" s="4">
        <v>1113</v>
      </c>
    </row>
    <row r="62" spans="1:7" x14ac:dyDescent="0.35">
      <c r="A62" s="3" t="s">
        <v>116</v>
      </c>
      <c r="B62" s="4">
        <v>197</v>
      </c>
      <c r="C62" s="4">
        <v>210</v>
      </c>
      <c r="D62" s="4">
        <v>67</v>
      </c>
      <c r="E62" s="4">
        <v>58</v>
      </c>
      <c r="F62" s="4">
        <v>10</v>
      </c>
      <c r="G62" s="4">
        <v>542</v>
      </c>
    </row>
    <row r="63" spans="1:7" x14ac:dyDescent="0.35">
      <c r="A63" s="3" t="s">
        <v>91</v>
      </c>
      <c r="B63" s="4">
        <v>71</v>
      </c>
      <c r="C63" s="4">
        <v>208</v>
      </c>
      <c r="D63" s="4">
        <v>22</v>
      </c>
      <c r="E63" s="4">
        <v>43</v>
      </c>
      <c r="F63" s="4"/>
      <c r="G63" s="4">
        <v>344</v>
      </c>
    </row>
    <row r="64" spans="1:7" x14ac:dyDescent="0.35">
      <c r="A64" s="3" t="s">
        <v>47</v>
      </c>
      <c r="B64" s="4">
        <v>98</v>
      </c>
      <c r="C64" s="4">
        <v>173</v>
      </c>
      <c r="D64" s="4">
        <v>23</v>
      </c>
      <c r="E64" s="4">
        <v>35</v>
      </c>
      <c r="F64" s="4">
        <v>3</v>
      </c>
      <c r="G64" s="4">
        <v>332</v>
      </c>
    </row>
    <row r="65" spans="1:7" x14ac:dyDescent="0.35">
      <c r="A65" s="3" t="s">
        <v>179</v>
      </c>
      <c r="B65" s="4">
        <v>16</v>
      </c>
      <c r="C65" s="4">
        <v>94</v>
      </c>
      <c r="D65" s="4">
        <v>22</v>
      </c>
      <c r="E65" s="4">
        <v>33</v>
      </c>
      <c r="F65" s="4"/>
      <c r="G65" s="4">
        <v>165</v>
      </c>
    </row>
    <row r="66" spans="1:7" x14ac:dyDescent="0.35">
      <c r="A66" s="3" t="s">
        <v>251</v>
      </c>
      <c r="B66" s="4"/>
      <c r="C66" s="4">
        <v>110</v>
      </c>
      <c r="D66" s="4">
        <v>22</v>
      </c>
      <c r="E66" s="4">
        <v>22</v>
      </c>
      <c r="F66" s="4"/>
      <c r="G66" s="4">
        <v>154</v>
      </c>
    </row>
    <row r="67" spans="1:7" x14ac:dyDescent="0.35">
      <c r="A67" s="3" t="s">
        <v>225</v>
      </c>
      <c r="B67" s="4">
        <v>14</v>
      </c>
      <c r="C67" s="4">
        <v>98</v>
      </c>
      <c r="D67" s="4"/>
      <c r="E67" s="4">
        <v>38</v>
      </c>
      <c r="F67" s="4">
        <v>2</v>
      </c>
      <c r="G67" s="4">
        <v>152</v>
      </c>
    </row>
    <row r="68" spans="1:7" x14ac:dyDescent="0.35">
      <c r="A68" s="3" t="s">
        <v>97</v>
      </c>
      <c r="B68" s="4">
        <v>11</v>
      </c>
      <c r="C68" s="4">
        <v>56</v>
      </c>
      <c r="D68" s="4"/>
      <c r="E68" s="4">
        <v>11</v>
      </c>
      <c r="F68" s="4">
        <v>3</v>
      </c>
      <c r="G68" s="4">
        <v>81</v>
      </c>
    </row>
    <row r="69" spans="1:7" x14ac:dyDescent="0.35">
      <c r="A69" s="3" t="s">
        <v>102</v>
      </c>
      <c r="B69" s="4">
        <v>44</v>
      </c>
      <c r="C69" s="4"/>
      <c r="D69" s="4">
        <v>23</v>
      </c>
      <c r="E69" s="4">
        <v>8</v>
      </c>
      <c r="F69" s="4"/>
      <c r="G69" s="4">
        <v>75</v>
      </c>
    </row>
    <row r="70" spans="1:7" x14ac:dyDescent="0.35">
      <c r="A70" s="3" t="s">
        <v>669</v>
      </c>
      <c r="B70" s="4"/>
      <c r="C70" s="4">
        <v>39</v>
      </c>
      <c r="D70" s="4"/>
      <c r="E70" s="4"/>
      <c r="F70" s="4">
        <v>0</v>
      </c>
      <c r="G70" s="4">
        <v>39</v>
      </c>
    </row>
    <row r="71" spans="1:7" x14ac:dyDescent="0.35">
      <c r="A71" s="3" t="s">
        <v>1536</v>
      </c>
      <c r="B71" s="4">
        <v>4837</v>
      </c>
      <c r="C71" s="4">
        <v>5236</v>
      </c>
      <c r="D71" s="4">
        <v>761</v>
      </c>
      <c r="E71" s="4">
        <v>2192</v>
      </c>
      <c r="F71" s="4">
        <v>146</v>
      </c>
      <c r="G71" s="4">
        <v>13172</v>
      </c>
    </row>
    <row r="73" spans="1:7" x14ac:dyDescent="0.35">
      <c r="A73" s="2" t="s">
        <v>1538</v>
      </c>
      <c r="B73" s="2" t="s">
        <v>1539</v>
      </c>
    </row>
    <row r="74" spans="1:7" x14ac:dyDescent="0.35">
      <c r="A74" s="2" t="s">
        <v>1535</v>
      </c>
      <c r="B74" t="s">
        <v>38</v>
      </c>
      <c r="C74" t="s">
        <v>15</v>
      </c>
      <c r="D74" t="s">
        <v>26</v>
      </c>
      <c r="E74" t="s">
        <v>1536</v>
      </c>
    </row>
    <row r="75" spans="1:7" x14ac:dyDescent="0.35">
      <c r="A75" s="3" t="s">
        <v>54</v>
      </c>
      <c r="B75" s="6">
        <v>14408247</v>
      </c>
      <c r="C75" s="4">
        <v>90832911</v>
      </c>
      <c r="D75" s="4">
        <v>4742167</v>
      </c>
      <c r="E75" s="4">
        <v>109983325</v>
      </c>
    </row>
    <row r="76" spans="1:7" x14ac:dyDescent="0.35">
      <c r="A76" s="5" t="s">
        <v>56</v>
      </c>
      <c r="B76" s="4">
        <v>2217576</v>
      </c>
      <c r="C76" s="4">
        <v>13612811</v>
      </c>
      <c r="D76" s="4"/>
      <c r="E76" s="4">
        <v>15830387</v>
      </c>
    </row>
    <row r="77" spans="1:7" x14ac:dyDescent="0.35">
      <c r="A77" s="5" t="s">
        <v>21</v>
      </c>
      <c r="B77" s="4">
        <v>779442</v>
      </c>
      <c r="C77" s="4">
        <v>9187956</v>
      </c>
      <c r="D77" s="4">
        <v>793592</v>
      </c>
      <c r="E77" s="4">
        <v>10760990</v>
      </c>
    </row>
    <row r="78" spans="1:7" x14ac:dyDescent="0.35">
      <c r="A78" s="5" t="s">
        <v>49</v>
      </c>
      <c r="B78" s="4">
        <v>1602344</v>
      </c>
      <c r="C78" s="4">
        <v>16538691</v>
      </c>
      <c r="D78" s="4"/>
      <c r="E78" s="4">
        <v>18141035</v>
      </c>
    </row>
    <row r="79" spans="1:7" x14ac:dyDescent="0.35">
      <c r="A79" s="5" t="s">
        <v>30</v>
      </c>
      <c r="B79" s="4">
        <v>2426911</v>
      </c>
      <c r="C79" s="4">
        <v>13930270</v>
      </c>
      <c r="D79" s="4"/>
      <c r="E79" s="4">
        <v>16357181</v>
      </c>
    </row>
    <row r="80" spans="1:7" x14ac:dyDescent="0.35">
      <c r="A80" s="5" t="s">
        <v>63</v>
      </c>
      <c r="B80" s="4">
        <v>1617896</v>
      </c>
      <c r="C80" s="4">
        <v>11612751</v>
      </c>
      <c r="D80" s="4">
        <v>1452926</v>
      </c>
      <c r="E80" s="4">
        <v>14683573</v>
      </c>
    </row>
    <row r="81" spans="1:8" x14ac:dyDescent="0.35">
      <c r="A81" s="5" t="s">
        <v>42</v>
      </c>
      <c r="B81" s="4">
        <v>3206420</v>
      </c>
      <c r="C81" s="4">
        <v>16300327</v>
      </c>
      <c r="D81" s="4">
        <v>1717034</v>
      </c>
      <c r="E81" s="4">
        <v>21223781</v>
      </c>
    </row>
    <row r="82" spans="1:8" x14ac:dyDescent="0.35">
      <c r="A82" s="5" t="s">
        <v>68</v>
      </c>
      <c r="B82" s="4">
        <v>2557658</v>
      </c>
      <c r="C82" s="4">
        <v>9650105</v>
      </c>
      <c r="D82" s="4">
        <v>778615</v>
      </c>
      <c r="E82" s="4">
        <v>12986378</v>
      </c>
    </row>
    <row r="83" spans="1:8" x14ac:dyDescent="0.35">
      <c r="A83" s="3" t="s">
        <v>1536</v>
      </c>
      <c r="B83" s="4">
        <v>14408247</v>
      </c>
      <c r="C83" s="4">
        <v>90832911</v>
      </c>
      <c r="D83" s="4">
        <v>4742167</v>
      </c>
      <c r="E83" s="4">
        <v>109983325</v>
      </c>
    </row>
    <row r="85" spans="1:8" x14ac:dyDescent="0.35">
      <c r="B85" t="s">
        <v>1537</v>
      </c>
      <c r="E85" t="s">
        <v>1537</v>
      </c>
      <c r="H85" t="s">
        <v>1537</v>
      </c>
    </row>
    <row r="86" spans="1:8" x14ac:dyDescent="0.35">
      <c r="A86" s="3" t="s">
        <v>56</v>
      </c>
      <c r="B86" s="4">
        <v>2104</v>
      </c>
      <c r="C86" s="7">
        <f>GETPIVOTDATA("HourOfDay",$A$85,"DayOfWeek","Sun")/GETPIVOTDATA("HourOfDay",$A$85)</f>
        <v>0.15973276647433951</v>
      </c>
      <c r="D86" s="3" t="s">
        <v>106</v>
      </c>
      <c r="E86" s="4">
        <v>1141</v>
      </c>
      <c r="G86" t="s">
        <v>1536</v>
      </c>
      <c r="H86">
        <v>13172</v>
      </c>
    </row>
    <row r="87" spans="1:8" x14ac:dyDescent="0.35">
      <c r="A87" s="3" t="s">
        <v>21</v>
      </c>
      <c r="B87" s="4">
        <v>1435</v>
      </c>
      <c r="C87" s="7">
        <f>GETPIVOTDATA("HourOfDay",$A$85,"DayOfWeek","Mon")/GETPIVOTDATA("HourOfDay",$A$85)</f>
        <v>0.10894321287579714</v>
      </c>
      <c r="D87" s="3" t="s">
        <v>51</v>
      </c>
      <c r="E87" s="4">
        <v>1203</v>
      </c>
      <c r="F87" s="7">
        <f>GETPIVOTDATA("HourOfDay",$D$85,"Channel2","Boomerang")/GETPIVOTDATA("HourOfDay",$D$85)</f>
        <v>9.1330094139082899E-2</v>
      </c>
      <c r="G87" t="s">
        <v>71</v>
      </c>
      <c r="H87">
        <v>2086</v>
      </c>
    </row>
    <row r="88" spans="1:8" x14ac:dyDescent="0.35">
      <c r="A88" s="3" t="s">
        <v>49</v>
      </c>
      <c r="B88" s="4">
        <v>1622</v>
      </c>
      <c r="C88" s="7">
        <f>GETPIVOTDATA("HourOfDay",$A$85,"DayOfWeek","Tue")/GETPIVOTDATA("HourOfDay",$A$85)</f>
        <v>0.12313999392651077</v>
      </c>
      <c r="D88" s="3" t="s">
        <v>97</v>
      </c>
      <c r="E88" s="4">
        <v>81</v>
      </c>
      <c r="G88" t="s">
        <v>19</v>
      </c>
      <c r="H88">
        <v>1587</v>
      </c>
    </row>
    <row r="89" spans="1:8" x14ac:dyDescent="0.35">
      <c r="A89" s="3" t="s">
        <v>30</v>
      </c>
      <c r="B89" s="4">
        <v>1820</v>
      </c>
      <c r="C89" s="7">
        <f>GETPIVOTDATA("HourOfDay",$A$85,"DayOfWeek","Wed")/GETPIVOTDATA("HourOfDay",$A$85)</f>
        <v>0.13817187974491346</v>
      </c>
      <c r="D89" s="3" t="s">
        <v>66</v>
      </c>
      <c r="E89" s="4">
        <v>1113</v>
      </c>
      <c r="F89" s="7">
        <f>GETPIVOTDATA("HourOfDay",$D$85,"Channel2","Cartoon Network")/GETPIVOTDATA("HourOfDay",$D$85)</f>
        <v>8.4497418767081695E-2</v>
      </c>
      <c r="G89" t="s">
        <v>54</v>
      </c>
      <c r="H89">
        <v>1504</v>
      </c>
    </row>
    <row r="90" spans="1:8" x14ac:dyDescent="0.35">
      <c r="A90" s="3" t="s">
        <v>63</v>
      </c>
      <c r="B90" s="4">
        <v>1923</v>
      </c>
      <c r="C90" s="7">
        <f>GETPIVOTDATA("HourOfDay",$A$85,"DayOfWeek","Thu")/GETPIVOTDATA("HourOfDay",$A$85)</f>
        <v>0.14599149711509263</v>
      </c>
      <c r="D90" s="3" t="s">
        <v>54</v>
      </c>
      <c r="E90" s="4">
        <v>1504</v>
      </c>
      <c r="F90" s="7">
        <f>GETPIVOTDATA("HourOfDay",$D$85,"Channel2","Channel O")/GETPIVOTDATA("HourOfDay",$D$85)</f>
        <v>0.11418159732766474</v>
      </c>
      <c r="G90" t="s">
        <v>28</v>
      </c>
      <c r="H90">
        <v>1415</v>
      </c>
    </row>
    <row r="91" spans="1:8" x14ac:dyDescent="0.35">
      <c r="A91" s="3" t="s">
        <v>42</v>
      </c>
      <c r="B91" s="4">
        <v>1931</v>
      </c>
      <c r="C91" s="7">
        <f>GETPIVOTDATA("HourOfDay",$A$85,"DayOfWeek","Fri")/GETPIVOTDATA("HourOfDay",$A$85)</f>
        <v>0.14659884603704829</v>
      </c>
      <c r="D91" s="3" t="s">
        <v>116</v>
      </c>
      <c r="E91" s="4">
        <v>542</v>
      </c>
      <c r="G91" t="s">
        <v>86</v>
      </c>
      <c r="H91">
        <v>1239</v>
      </c>
    </row>
    <row r="92" spans="1:8" x14ac:dyDescent="0.35">
      <c r="A92" s="3" t="s">
        <v>68</v>
      </c>
      <c r="B92" s="4">
        <v>2337</v>
      </c>
      <c r="C92" s="7">
        <f>GETPIVOTDATA("HourOfDay",$A$85,"DayOfWeek","Sat")/GETPIVOTDATA("HourOfDay",$A$85)</f>
        <v>0.17742180382629821</v>
      </c>
      <c r="D92" s="3" t="s">
        <v>251</v>
      </c>
      <c r="E92" s="4">
        <v>154</v>
      </c>
      <c r="G92" t="s">
        <v>51</v>
      </c>
      <c r="H92">
        <v>1203</v>
      </c>
    </row>
    <row r="93" spans="1:8" x14ac:dyDescent="0.35">
      <c r="A93" s="3" t="s">
        <v>1536</v>
      </c>
      <c r="B93" s="4">
        <v>13172</v>
      </c>
      <c r="D93" s="3" t="s">
        <v>91</v>
      </c>
      <c r="E93" s="4">
        <v>344</v>
      </c>
      <c r="G93" t="s">
        <v>106</v>
      </c>
      <c r="H93">
        <v>1141</v>
      </c>
    </row>
    <row r="94" spans="1:8" x14ac:dyDescent="0.35">
      <c r="D94" s="3" t="s">
        <v>28</v>
      </c>
      <c r="E94" s="4">
        <v>1415</v>
      </c>
      <c r="F94" s="7">
        <f>GETPIVOTDATA("HourOfDay",$D$85,"Channel2","ICC Cricket World Cup 2011")/GETPIVOTDATA("HourOfDay",$D$85)</f>
        <v>0.10742484057090798</v>
      </c>
      <c r="G94" t="s">
        <v>66</v>
      </c>
      <c r="H94">
        <v>1113</v>
      </c>
    </row>
    <row r="95" spans="1:8" x14ac:dyDescent="0.35">
      <c r="D95" s="3" t="s">
        <v>102</v>
      </c>
      <c r="E95" s="4">
        <v>75</v>
      </c>
      <c r="G95" t="s">
        <v>116</v>
      </c>
      <c r="H95">
        <v>542</v>
      </c>
    </row>
    <row r="96" spans="1:8" x14ac:dyDescent="0.35">
      <c r="A96" s="2" t="s">
        <v>1535</v>
      </c>
      <c r="B96" t="s">
        <v>1538</v>
      </c>
      <c r="D96" s="3" t="s">
        <v>669</v>
      </c>
      <c r="E96" s="4">
        <v>39</v>
      </c>
      <c r="G96" t="s">
        <v>91</v>
      </c>
      <c r="H96">
        <v>344</v>
      </c>
    </row>
    <row r="97" spans="1:8" x14ac:dyDescent="0.35">
      <c r="A97" s="3" t="s">
        <v>44</v>
      </c>
      <c r="B97" s="4">
        <v>332247870</v>
      </c>
      <c r="D97" s="3" t="s">
        <v>225</v>
      </c>
      <c r="E97" s="4">
        <v>152</v>
      </c>
      <c r="G97" t="s">
        <v>47</v>
      </c>
      <c r="H97">
        <v>332</v>
      </c>
    </row>
    <row r="98" spans="1:8" x14ac:dyDescent="0.35">
      <c r="A98" s="3" t="s">
        <v>25</v>
      </c>
      <c r="B98" s="4">
        <v>258276235</v>
      </c>
      <c r="D98" s="3" t="s">
        <v>47</v>
      </c>
      <c r="E98" s="4">
        <v>332</v>
      </c>
      <c r="G98" t="s">
        <v>179</v>
      </c>
      <c r="H98">
        <v>165</v>
      </c>
    </row>
    <row r="99" spans="1:8" x14ac:dyDescent="0.35">
      <c r="A99" s="3" t="s">
        <v>104</v>
      </c>
      <c r="B99" s="4">
        <v>26506650</v>
      </c>
      <c r="D99" s="3" t="s">
        <v>86</v>
      </c>
      <c r="E99" s="4">
        <v>1239</v>
      </c>
      <c r="F99" s="7">
        <f>GETPIVOTDATA("HourOfDay",$D$85,"Channel2","SuperSport Blitz")/GETPIVOTDATA("HourOfDay",$D$85)</f>
        <v>9.4063164287883388E-2</v>
      </c>
      <c r="G99" t="s">
        <v>251</v>
      </c>
      <c r="H99">
        <v>154</v>
      </c>
    </row>
    <row r="100" spans="1:8" x14ac:dyDescent="0.35">
      <c r="A100" s="3" t="s">
        <v>33</v>
      </c>
      <c r="B100" s="4">
        <v>268871731</v>
      </c>
      <c r="D100" s="3" t="s">
        <v>71</v>
      </c>
      <c r="E100" s="4">
        <v>2086</v>
      </c>
      <c r="F100" s="7">
        <f>GETPIVOTDATA("HourOfDay",$D$85,"Channel2","Supersport Live Events")/GETPIVOTDATA("HourOfDay",$D$85)</f>
        <v>0.15836623139993927</v>
      </c>
      <c r="G100" t="s">
        <v>225</v>
      </c>
      <c r="H100">
        <v>152</v>
      </c>
    </row>
    <row r="101" spans="1:8" x14ac:dyDescent="0.35">
      <c r="A101" s="3" t="s">
        <v>58</v>
      </c>
      <c r="B101" s="4">
        <v>49950621</v>
      </c>
      <c r="D101" s="3" t="s">
        <v>19</v>
      </c>
      <c r="E101" s="4">
        <v>1587</v>
      </c>
      <c r="G101" t="s">
        <v>97</v>
      </c>
      <c r="H101">
        <v>81</v>
      </c>
    </row>
    <row r="102" spans="1:8" x14ac:dyDescent="0.35">
      <c r="A102" s="3" t="s">
        <v>1536</v>
      </c>
      <c r="B102" s="4">
        <v>935853107</v>
      </c>
      <c r="D102" s="3" t="s">
        <v>179</v>
      </c>
      <c r="E102" s="4">
        <v>165</v>
      </c>
      <c r="G102" t="s">
        <v>102</v>
      </c>
      <c r="H102">
        <v>75</v>
      </c>
    </row>
    <row r="103" spans="1:8" x14ac:dyDescent="0.35">
      <c r="D103" s="3" t="s">
        <v>1536</v>
      </c>
      <c r="E103" s="4">
        <v>13172</v>
      </c>
      <c r="G103" t="s">
        <v>669</v>
      </c>
      <c r="H103">
        <v>39</v>
      </c>
    </row>
    <row r="110" spans="1:8" x14ac:dyDescent="0.35">
      <c r="A110" s="2" t="s">
        <v>1538</v>
      </c>
      <c r="B110" s="2" t="s">
        <v>1539</v>
      </c>
    </row>
    <row r="111" spans="1:8" x14ac:dyDescent="0.35">
      <c r="A111" s="2" t="s">
        <v>1535</v>
      </c>
      <c r="B111" t="s">
        <v>78</v>
      </c>
      <c r="C111" t="s">
        <v>16</v>
      </c>
      <c r="D111" t="s">
        <v>34</v>
      </c>
      <c r="E111" t="s">
        <v>26</v>
      </c>
      <c r="F111" t="s">
        <v>129</v>
      </c>
      <c r="G111" t="s">
        <v>39</v>
      </c>
      <c r="H111" t="s">
        <v>1536</v>
      </c>
    </row>
    <row r="112" spans="1:8" x14ac:dyDescent="0.35">
      <c r="A112" s="3" t="s">
        <v>35</v>
      </c>
      <c r="B112" s="4">
        <v>204906940</v>
      </c>
      <c r="C112" s="4">
        <v>14501081</v>
      </c>
      <c r="D112" s="4">
        <v>57944256</v>
      </c>
      <c r="E112" s="4">
        <v>14466434</v>
      </c>
      <c r="F112" s="4"/>
      <c r="G112" s="4">
        <v>28557828</v>
      </c>
      <c r="H112" s="4">
        <v>320376539</v>
      </c>
    </row>
    <row r="113" spans="1:8" x14ac:dyDescent="0.35">
      <c r="A113" s="3" t="s">
        <v>17</v>
      </c>
      <c r="B113" s="4">
        <v>22926288</v>
      </c>
      <c r="C113" s="4">
        <v>164600279</v>
      </c>
      <c r="D113" s="4">
        <v>8144134</v>
      </c>
      <c r="E113" s="4">
        <v>14234617</v>
      </c>
      <c r="F113" s="4">
        <v>601422</v>
      </c>
      <c r="G113" s="4">
        <v>8217805</v>
      </c>
      <c r="H113" s="4">
        <v>218724545</v>
      </c>
    </row>
    <row r="114" spans="1:8" x14ac:dyDescent="0.35">
      <c r="A114" s="3" t="s">
        <v>64</v>
      </c>
      <c r="B114" s="4">
        <v>25355417</v>
      </c>
      <c r="C114" s="4">
        <v>5946043</v>
      </c>
      <c r="D114" s="4">
        <v>55366903</v>
      </c>
      <c r="E114" s="4">
        <v>2469643</v>
      </c>
      <c r="F114" s="4"/>
      <c r="G114" s="4">
        <v>5131926</v>
      </c>
      <c r="H114" s="4">
        <v>94269932</v>
      </c>
    </row>
    <row r="115" spans="1:8" x14ac:dyDescent="0.35">
      <c r="A115" s="3" t="s">
        <v>75</v>
      </c>
      <c r="B115" s="4">
        <v>53068815</v>
      </c>
      <c r="C115" s="4">
        <v>985794</v>
      </c>
      <c r="D115" s="4">
        <v>9700407</v>
      </c>
      <c r="E115" s="4">
        <v>4391764</v>
      </c>
      <c r="F115" s="4"/>
      <c r="G115" s="4">
        <v>12133694</v>
      </c>
      <c r="H115" s="4">
        <v>80280474</v>
      </c>
    </row>
    <row r="116" spans="1:8" x14ac:dyDescent="0.35">
      <c r="A116" s="3" t="s">
        <v>134</v>
      </c>
      <c r="B116" s="4">
        <v>29457067</v>
      </c>
      <c r="C116" s="4">
        <v>10401072</v>
      </c>
      <c r="D116" s="4">
        <v>22087100</v>
      </c>
      <c r="E116" s="4">
        <v>2670152</v>
      </c>
      <c r="F116" s="4">
        <v>2380947</v>
      </c>
      <c r="G116" s="4">
        <v>3473510</v>
      </c>
      <c r="H116" s="4">
        <v>70469848</v>
      </c>
    </row>
    <row r="117" spans="1:8" x14ac:dyDescent="0.35">
      <c r="A117" s="3" t="s">
        <v>45</v>
      </c>
      <c r="B117" s="4">
        <v>15043987</v>
      </c>
      <c r="C117" s="4">
        <v>22740668</v>
      </c>
      <c r="D117" s="4">
        <v>5004443</v>
      </c>
      <c r="E117" s="4">
        <v>3043716</v>
      </c>
      <c r="F117" s="4">
        <v>1617846</v>
      </c>
      <c r="G117" s="4">
        <v>12694070</v>
      </c>
      <c r="H117" s="4">
        <v>60144730</v>
      </c>
    </row>
    <row r="118" spans="1:8" x14ac:dyDescent="0.35">
      <c r="A118" s="3" t="s">
        <v>195</v>
      </c>
      <c r="B118" s="4">
        <v>29698005</v>
      </c>
      <c r="C118" s="4">
        <v>2221710</v>
      </c>
      <c r="D118" s="4">
        <v>2712897</v>
      </c>
      <c r="E118" s="4">
        <v>830836</v>
      </c>
      <c r="F118" s="4">
        <v>1860188</v>
      </c>
      <c r="G118" s="4">
        <v>808979</v>
      </c>
      <c r="H118" s="4">
        <v>38132615</v>
      </c>
    </row>
    <row r="119" spans="1:8" x14ac:dyDescent="0.35">
      <c r="A119" s="3" t="s">
        <v>335</v>
      </c>
      <c r="B119" s="4">
        <v>23927849</v>
      </c>
      <c r="C119" s="4"/>
      <c r="D119" s="4"/>
      <c r="E119" s="4"/>
      <c r="F119" s="4"/>
      <c r="G119" s="4">
        <v>3348714</v>
      </c>
      <c r="H119" s="4">
        <v>27276563</v>
      </c>
    </row>
    <row r="120" spans="1:8" x14ac:dyDescent="0.35">
      <c r="A120" s="3" t="s">
        <v>26</v>
      </c>
      <c r="B120" s="4"/>
      <c r="C120" s="4"/>
      <c r="D120" s="4"/>
      <c r="E120" s="4">
        <v>14194868</v>
      </c>
      <c r="F120" s="4"/>
      <c r="G120" s="4"/>
      <c r="H120" s="4">
        <v>14194868</v>
      </c>
    </row>
    <row r="121" spans="1:8" x14ac:dyDescent="0.35">
      <c r="A121" s="3" t="s">
        <v>860</v>
      </c>
      <c r="B121" s="4">
        <v>1543754</v>
      </c>
      <c r="C121" s="4">
        <v>6455187</v>
      </c>
      <c r="D121" s="4"/>
      <c r="E121" s="4"/>
      <c r="F121" s="4"/>
      <c r="G121" s="4">
        <v>1577574</v>
      </c>
      <c r="H121" s="4">
        <v>9576515</v>
      </c>
    </row>
    <row r="122" spans="1:8" x14ac:dyDescent="0.35">
      <c r="A122" s="3" t="s">
        <v>1536</v>
      </c>
      <c r="B122" s="4">
        <v>405928122</v>
      </c>
      <c r="C122" s="4">
        <v>227851834</v>
      </c>
      <c r="D122" s="4">
        <v>160960140</v>
      </c>
      <c r="E122" s="4">
        <v>56302030</v>
      </c>
      <c r="F122" s="4">
        <v>6460403</v>
      </c>
      <c r="G122" s="4">
        <v>75944100</v>
      </c>
      <c r="H122" s="4">
        <v>933446629</v>
      </c>
    </row>
    <row r="124" spans="1:8" x14ac:dyDescent="0.35">
      <c r="A124" s="2"/>
      <c r="B124" t="s">
        <v>1537</v>
      </c>
    </row>
    <row r="125" spans="1:8" x14ac:dyDescent="0.35">
      <c r="A125" s="3" t="s">
        <v>56</v>
      </c>
      <c r="B125" s="4">
        <v>2104</v>
      </c>
    </row>
    <row r="126" spans="1:8" x14ac:dyDescent="0.35">
      <c r="A126" s="3" t="s">
        <v>21</v>
      </c>
      <c r="B126" s="4">
        <v>1435</v>
      </c>
    </row>
    <row r="127" spans="1:8" x14ac:dyDescent="0.35">
      <c r="A127" s="3" t="s">
        <v>49</v>
      </c>
      <c r="B127" s="4">
        <v>1622</v>
      </c>
    </row>
    <row r="128" spans="1:8" x14ac:dyDescent="0.35">
      <c r="A128" s="3" t="s">
        <v>30</v>
      </c>
      <c r="B128" s="4">
        <v>1820</v>
      </c>
    </row>
    <row r="129" spans="1:9" x14ac:dyDescent="0.35">
      <c r="A129" s="3" t="s">
        <v>63</v>
      </c>
      <c r="B129" s="4">
        <v>1923</v>
      </c>
    </row>
    <row r="130" spans="1:9" x14ac:dyDescent="0.35">
      <c r="A130" s="3" t="s">
        <v>42</v>
      </c>
      <c r="B130" s="4">
        <v>1931</v>
      </c>
    </row>
    <row r="131" spans="1:9" x14ac:dyDescent="0.35">
      <c r="A131" s="3" t="s">
        <v>68</v>
      </c>
      <c r="B131" s="4">
        <v>2337</v>
      </c>
    </row>
    <row r="132" spans="1:9" x14ac:dyDescent="0.35">
      <c r="A132" s="3" t="s">
        <v>1536</v>
      </c>
      <c r="B132" s="4">
        <v>13172</v>
      </c>
    </row>
    <row r="134" spans="1:9" x14ac:dyDescent="0.35">
      <c r="A134" s="2" t="s">
        <v>1538</v>
      </c>
    </row>
    <row r="135" spans="1:9" x14ac:dyDescent="0.35">
      <c r="B135" t="s">
        <v>56</v>
      </c>
      <c r="C135" t="s">
        <v>21</v>
      </c>
      <c r="D135" t="s">
        <v>49</v>
      </c>
      <c r="E135" t="s">
        <v>30</v>
      </c>
      <c r="F135" t="s">
        <v>63</v>
      </c>
      <c r="G135" t="s">
        <v>42</v>
      </c>
      <c r="H135" t="s">
        <v>68</v>
      </c>
      <c r="I135" t="s">
        <v>1536</v>
      </c>
    </row>
    <row r="136" spans="1:9" x14ac:dyDescent="0.35">
      <c r="A136" s="3" t="s">
        <v>106</v>
      </c>
      <c r="B136" s="4">
        <v>15621214</v>
      </c>
      <c r="C136" s="4">
        <v>9041233</v>
      </c>
      <c r="D136" s="4">
        <v>5730789</v>
      </c>
      <c r="E136" s="4">
        <v>14427124</v>
      </c>
      <c r="F136" s="4">
        <v>12644323</v>
      </c>
      <c r="G136" s="4">
        <v>13362028</v>
      </c>
      <c r="H136" s="4">
        <v>14460244</v>
      </c>
      <c r="I136" s="4">
        <v>85286955</v>
      </c>
    </row>
    <row r="137" spans="1:9" x14ac:dyDescent="0.35">
      <c r="A137" s="3" t="s">
        <v>51</v>
      </c>
      <c r="B137" s="4">
        <v>12653728</v>
      </c>
      <c r="C137" s="4">
        <v>19364093</v>
      </c>
      <c r="D137" s="4">
        <v>4548167</v>
      </c>
      <c r="E137" s="4">
        <v>10642096</v>
      </c>
      <c r="F137" s="4">
        <v>15034478</v>
      </c>
      <c r="G137" s="4">
        <v>7299047</v>
      </c>
      <c r="H137" s="4">
        <v>13845211</v>
      </c>
      <c r="I137" s="4">
        <v>83386820</v>
      </c>
    </row>
    <row r="138" spans="1:9" x14ac:dyDescent="0.35">
      <c r="A138" s="3" t="s">
        <v>97</v>
      </c>
      <c r="B138" s="4">
        <v>1588528</v>
      </c>
      <c r="C138" s="4">
        <v>2255518</v>
      </c>
      <c r="D138" s="4">
        <v>808945</v>
      </c>
      <c r="E138" s="4"/>
      <c r="F138" s="4">
        <v>771848</v>
      </c>
      <c r="G138" s="4"/>
      <c r="H138" s="4">
        <v>1629430</v>
      </c>
      <c r="I138" s="4">
        <v>7054269</v>
      </c>
    </row>
    <row r="139" spans="1:9" x14ac:dyDescent="0.35">
      <c r="A139" s="3" t="s">
        <v>66</v>
      </c>
      <c r="B139" s="4">
        <v>10865647</v>
      </c>
      <c r="C139" s="4">
        <v>5622234</v>
      </c>
      <c r="D139" s="4">
        <v>8828808</v>
      </c>
      <c r="E139" s="4">
        <v>5814224</v>
      </c>
      <c r="F139" s="4">
        <v>11465408</v>
      </c>
      <c r="G139" s="4">
        <v>10716735</v>
      </c>
      <c r="H139" s="4">
        <v>13501773</v>
      </c>
      <c r="I139" s="4">
        <v>66814829</v>
      </c>
    </row>
    <row r="140" spans="1:9" x14ac:dyDescent="0.35">
      <c r="A140" s="3" t="s">
        <v>54</v>
      </c>
      <c r="B140" s="4">
        <v>15830387</v>
      </c>
      <c r="C140" s="4">
        <v>10760990</v>
      </c>
      <c r="D140" s="4">
        <v>18141035</v>
      </c>
      <c r="E140" s="4">
        <v>16357181</v>
      </c>
      <c r="F140" s="4">
        <v>14683573</v>
      </c>
      <c r="G140" s="4">
        <v>21223781</v>
      </c>
      <c r="H140" s="4">
        <v>12986378</v>
      </c>
      <c r="I140" s="4">
        <v>109983325</v>
      </c>
    </row>
    <row r="141" spans="1:9" x14ac:dyDescent="0.35">
      <c r="A141" s="3" t="s">
        <v>116</v>
      </c>
      <c r="B141" s="4">
        <v>3978491</v>
      </c>
      <c r="C141" s="4">
        <v>4728821</v>
      </c>
      <c r="D141" s="4">
        <v>1678071</v>
      </c>
      <c r="E141" s="4">
        <v>4396216</v>
      </c>
      <c r="F141" s="4">
        <v>6120534</v>
      </c>
      <c r="G141" s="4">
        <v>10751119</v>
      </c>
      <c r="H141" s="4">
        <v>6555821</v>
      </c>
      <c r="I141" s="4">
        <v>38209073</v>
      </c>
    </row>
    <row r="142" spans="1:9" x14ac:dyDescent="0.35">
      <c r="A142" s="3" t="s">
        <v>251</v>
      </c>
      <c r="B142" s="4"/>
      <c r="C142" s="4">
        <v>2337438</v>
      </c>
      <c r="D142" s="4"/>
      <c r="E142" s="4">
        <v>1984230</v>
      </c>
      <c r="F142" s="4">
        <v>2368559</v>
      </c>
      <c r="G142" s="4">
        <v>597268</v>
      </c>
      <c r="H142" s="4">
        <v>1618067</v>
      </c>
      <c r="I142" s="4">
        <v>8905562</v>
      </c>
    </row>
    <row r="143" spans="1:9" x14ac:dyDescent="0.35">
      <c r="A143" s="3" t="s">
        <v>91</v>
      </c>
      <c r="B143" s="4">
        <v>4642199</v>
      </c>
      <c r="C143" s="4">
        <v>1618035</v>
      </c>
      <c r="D143" s="4">
        <v>4223408</v>
      </c>
      <c r="E143" s="4">
        <v>1719086</v>
      </c>
      <c r="F143" s="4">
        <v>3487376</v>
      </c>
      <c r="G143" s="4">
        <v>3619171</v>
      </c>
      <c r="H143" s="4">
        <v>1844008</v>
      </c>
      <c r="I143" s="4">
        <v>21153283</v>
      </c>
    </row>
    <row r="144" spans="1:9" x14ac:dyDescent="0.35">
      <c r="A144" s="3" t="s">
        <v>28</v>
      </c>
      <c r="B144" s="4">
        <v>17527550</v>
      </c>
      <c r="C144" s="4">
        <v>5698071</v>
      </c>
      <c r="D144" s="4">
        <v>26312053</v>
      </c>
      <c r="E144" s="4">
        <v>42245922</v>
      </c>
      <c r="F144" s="4">
        <v>4007099</v>
      </c>
      <c r="G144" s="4">
        <v>17648657</v>
      </c>
      <c r="H144" s="4">
        <v>16271585</v>
      </c>
      <c r="I144" s="4">
        <v>129710937</v>
      </c>
    </row>
    <row r="145" spans="1:9" x14ac:dyDescent="0.35">
      <c r="A145" s="3" t="s">
        <v>102</v>
      </c>
      <c r="B145" s="4"/>
      <c r="C145" s="4">
        <v>939622</v>
      </c>
      <c r="D145" s="4">
        <v>817317</v>
      </c>
      <c r="E145" s="4">
        <v>939570</v>
      </c>
      <c r="F145" s="4">
        <v>930015</v>
      </c>
      <c r="G145" s="4">
        <v>808984</v>
      </c>
      <c r="H145" s="4"/>
      <c r="I145" s="4">
        <v>4435508</v>
      </c>
    </row>
    <row r="146" spans="1:9" x14ac:dyDescent="0.35">
      <c r="A146" s="3" t="s">
        <v>669</v>
      </c>
      <c r="B146" s="4">
        <v>793649</v>
      </c>
      <c r="C146" s="4"/>
      <c r="D146" s="4"/>
      <c r="E146" s="4"/>
      <c r="F146" s="4">
        <v>809008</v>
      </c>
      <c r="G146" s="4"/>
      <c r="H146" s="4">
        <v>866195</v>
      </c>
      <c r="I146" s="4">
        <v>2468852</v>
      </c>
    </row>
    <row r="147" spans="1:9" x14ac:dyDescent="0.35">
      <c r="A147" s="3" t="s">
        <v>225</v>
      </c>
      <c r="B147" s="4">
        <v>3315052</v>
      </c>
      <c r="C147" s="4"/>
      <c r="D147" s="4"/>
      <c r="E147" s="4">
        <v>3027504</v>
      </c>
      <c r="F147" s="4">
        <v>2376190</v>
      </c>
      <c r="G147" s="4">
        <v>1589194</v>
      </c>
      <c r="H147" s="4">
        <v>764429</v>
      </c>
      <c r="I147" s="4">
        <v>11072369</v>
      </c>
    </row>
    <row r="148" spans="1:9" x14ac:dyDescent="0.35">
      <c r="A148" s="3" t="s">
        <v>47</v>
      </c>
      <c r="B148" s="4">
        <v>3117882</v>
      </c>
      <c r="C148" s="4">
        <v>1602776</v>
      </c>
      <c r="D148" s="4">
        <v>2419137</v>
      </c>
      <c r="E148" s="4">
        <v>5775926</v>
      </c>
      <c r="F148" s="4">
        <v>1631376</v>
      </c>
      <c r="G148" s="4">
        <v>2360982</v>
      </c>
      <c r="H148" s="4">
        <v>4096900</v>
      </c>
      <c r="I148" s="4">
        <v>21004979</v>
      </c>
    </row>
    <row r="149" spans="1:9" x14ac:dyDescent="0.35">
      <c r="A149" s="3" t="s">
        <v>86</v>
      </c>
      <c r="B149" s="4">
        <v>9286768</v>
      </c>
      <c r="C149" s="4">
        <v>4192191</v>
      </c>
      <c r="D149" s="4">
        <v>15184445</v>
      </c>
      <c r="E149" s="4">
        <v>11881390</v>
      </c>
      <c r="F149" s="4">
        <v>11684569</v>
      </c>
      <c r="G149" s="4">
        <v>11258613</v>
      </c>
      <c r="H149" s="4">
        <v>21977575</v>
      </c>
      <c r="I149" s="4">
        <v>85465551</v>
      </c>
    </row>
    <row r="150" spans="1:9" x14ac:dyDescent="0.35">
      <c r="A150" s="3" t="s">
        <v>71</v>
      </c>
      <c r="B150" s="4">
        <v>26986716</v>
      </c>
      <c r="C150" s="4">
        <v>12603787</v>
      </c>
      <c r="D150" s="4">
        <v>10246740</v>
      </c>
      <c r="E150" s="4">
        <v>2580547</v>
      </c>
      <c r="F150" s="4">
        <v>25042414</v>
      </c>
      <c r="G150" s="4">
        <v>28857281</v>
      </c>
      <c r="H150" s="4">
        <v>43882560</v>
      </c>
      <c r="I150" s="4">
        <v>150200045</v>
      </c>
    </row>
    <row r="151" spans="1:9" x14ac:dyDescent="0.35">
      <c r="A151" s="3" t="s">
        <v>19</v>
      </c>
      <c r="B151" s="4">
        <v>8045246</v>
      </c>
      <c r="C151" s="4">
        <v>18061831</v>
      </c>
      <c r="D151" s="4">
        <v>17365135</v>
      </c>
      <c r="E151" s="4">
        <v>15362708</v>
      </c>
      <c r="F151" s="4">
        <v>13960943</v>
      </c>
      <c r="G151" s="4">
        <v>13008334</v>
      </c>
      <c r="H151" s="4">
        <v>13844526</v>
      </c>
      <c r="I151" s="4">
        <v>99648723</v>
      </c>
    </row>
    <row r="152" spans="1:9" x14ac:dyDescent="0.35">
      <c r="A152" s="3" t="s">
        <v>179</v>
      </c>
      <c r="B152" s="4">
        <v>3592588</v>
      </c>
      <c r="C152" s="4"/>
      <c r="D152" s="4"/>
      <c r="E152" s="4">
        <v>939624</v>
      </c>
      <c r="F152" s="4">
        <v>3952087</v>
      </c>
      <c r="G152" s="4"/>
      <c r="H152" s="4">
        <v>2567728</v>
      </c>
      <c r="I152" s="4">
        <v>11052027</v>
      </c>
    </row>
    <row r="153" spans="1:9" x14ac:dyDescent="0.35">
      <c r="A153" s="3" t="s">
        <v>1536</v>
      </c>
      <c r="B153" s="4">
        <v>137845645</v>
      </c>
      <c r="C153" s="4">
        <v>98826640</v>
      </c>
      <c r="D153" s="4">
        <v>116304050</v>
      </c>
      <c r="E153" s="4">
        <v>138093348</v>
      </c>
      <c r="F153" s="4">
        <v>130969800</v>
      </c>
      <c r="G153" s="4">
        <v>143101194</v>
      </c>
      <c r="H153" s="4">
        <v>170712430</v>
      </c>
      <c r="I153" s="4">
        <v>935853107</v>
      </c>
    </row>
    <row r="155" spans="1:9" x14ac:dyDescent="0.35">
      <c r="A155" s="2" t="s">
        <v>1535</v>
      </c>
      <c r="B155" t="s">
        <v>1538</v>
      </c>
    </row>
    <row r="156" spans="1:9" x14ac:dyDescent="0.35">
      <c r="A156" s="3" t="s">
        <v>69</v>
      </c>
      <c r="B156" s="4">
        <v>347898972</v>
      </c>
      <c r="C156" s="7">
        <f>GETPIVOTDATA("UserID_Profile",$A$155,"Age_Group","Youth")/GETPIVOTDATA("UserID_Profile",$A$155)</f>
        <v>0.37174527647318051</v>
      </c>
      <c r="E156" s="2" t="s">
        <v>1535</v>
      </c>
      <c r="F156" t="s">
        <v>1538</v>
      </c>
    </row>
    <row r="157" spans="1:9" x14ac:dyDescent="0.35">
      <c r="A157" s="3" t="s">
        <v>24</v>
      </c>
      <c r="B157" s="4">
        <v>294135582</v>
      </c>
      <c r="C157" s="7">
        <f>GETPIVOTDATA("UserID_Profile",$A$155,"Age_Group","Young_adult")/GETPIVOTDATA("UserID_Profile",$A$155)</f>
        <v>0.3142967414436334</v>
      </c>
      <c r="E157" s="3" t="s">
        <v>22</v>
      </c>
      <c r="F157" s="4">
        <v>182025710</v>
      </c>
    </row>
    <row r="158" spans="1:9" x14ac:dyDescent="0.35">
      <c r="A158" s="3" t="s">
        <v>93</v>
      </c>
      <c r="B158" s="4">
        <v>157413456</v>
      </c>
      <c r="C158" s="7"/>
      <c r="E158" s="3" t="s">
        <v>50</v>
      </c>
      <c r="F158" s="4">
        <v>273012651</v>
      </c>
    </row>
    <row r="159" spans="1:9" x14ac:dyDescent="0.35">
      <c r="A159" s="3" t="s">
        <v>43</v>
      </c>
      <c r="B159" s="4">
        <v>76774582</v>
      </c>
      <c r="C159" s="7"/>
      <c r="E159" s="3" t="s">
        <v>31</v>
      </c>
      <c r="F159" s="4">
        <v>480814746</v>
      </c>
    </row>
    <row r="160" spans="1:9" x14ac:dyDescent="0.35">
      <c r="A160" s="3" t="s">
        <v>32</v>
      </c>
      <c r="B160" s="4">
        <v>57193115</v>
      </c>
      <c r="C160" s="7">
        <f>GETPIVOTDATA("UserID_Profile",$A$155,"Age_Group","Under_18")/GETPIVOTDATA("UserID_Profile",$A$155)</f>
        <v>6.1113346285016926E-2</v>
      </c>
      <c r="E160" s="3" t="s">
        <v>1536</v>
      </c>
      <c r="F160" s="4">
        <v>935853107</v>
      </c>
    </row>
    <row r="161" spans="1:5" x14ac:dyDescent="0.35">
      <c r="A161" s="3" t="s">
        <v>1057</v>
      </c>
      <c r="B161" s="4">
        <v>2437400</v>
      </c>
      <c r="C161" s="8">
        <f>GETPIVOTDATA("UserID_Profile",$A$155,"Age_Group","Pensioners")/GETPIVOTDATA("UserID_Profile",$A$155)</f>
        <v>2.6044685664542012E-3</v>
      </c>
    </row>
    <row r="162" spans="1:5" x14ac:dyDescent="0.35">
      <c r="A162" s="3" t="s">
        <v>1536</v>
      </c>
      <c r="B162" s="4">
        <v>935853107</v>
      </c>
    </row>
    <row r="164" spans="1:5" x14ac:dyDescent="0.35">
      <c r="A164" s="2" t="s">
        <v>1537</v>
      </c>
      <c r="B164" s="2" t="s">
        <v>1539</v>
      </c>
    </row>
    <row r="165" spans="1:5" x14ac:dyDescent="0.35">
      <c r="A165" s="2" t="s">
        <v>1535</v>
      </c>
      <c r="B165" t="s">
        <v>22</v>
      </c>
      <c r="C165" t="s">
        <v>50</v>
      </c>
      <c r="D165" t="s">
        <v>31</v>
      </c>
      <c r="E165" t="s">
        <v>1536</v>
      </c>
    </row>
    <row r="166" spans="1:5" x14ac:dyDescent="0.35">
      <c r="A166" s="3" t="s">
        <v>71</v>
      </c>
      <c r="B166" s="4">
        <v>411</v>
      </c>
      <c r="C166" s="4">
        <v>730</v>
      </c>
      <c r="D166" s="4">
        <v>945</v>
      </c>
      <c r="E166" s="4">
        <v>2086</v>
      </c>
    </row>
    <row r="167" spans="1:5" x14ac:dyDescent="0.35">
      <c r="A167" s="3" t="s">
        <v>19</v>
      </c>
      <c r="B167" s="4">
        <v>434</v>
      </c>
      <c r="C167" s="4">
        <v>397</v>
      </c>
      <c r="D167" s="4">
        <v>756</v>
      </c>
      <c r="E167" s="4">
        <v>1587</v>
      </c>
    </row>
    <row r="168" spans="1:5" x14ac:dyDescent="0.35">
      <c r="A168" s="3" t="s">
        <v>54</v>
      </c>
      <c r="B168" s="4">
        <v>396</v>
      </c>
      <c r="C168" s="4">
        <v>495</v>
      </c>
      <c r="D168" s="4">
        <v>613</v>
      </c>
      <c r="E168" s="4">
        <v>1504</v>
      </c>
    </row>
    <row r="169" spans="1:5" x14ac:dyDescent="0.35">
      <c r="A169" s="3" t="s">
        <v>28</v>
      </c>
      <c r="B169" s="4"/>
      <c r="C169" s="4">
        <v>292</v>
      </c>
      <c r="D169" s="4">
        <v>1123</v>
      </c>
      <c r="E169" s="4">
        <v>1415</v>
      </c>
    </row>
    <row r="170" spans="1:5" x14ac:dyDescent="0.35">
      <c r="A170" s="3" t="s">
        <v>86</v>
      </c>
      <c r="B170" s="4">
        <v>332</v>
      </c>
      <c r="C170" s="4">
        <v>351</v>
      </c>
      <c r="D170" s="4">
        <v>556</v>
      </c>
      <c r="E170" s="4">
        <v>1239</v>
      </c>
    </row>
    <row r="171" spans="1:5" x14ac:dyDescent="0.35">
      <c r="A171" s="3" t="s">
        <v>51</v>
      </c>
      <c r="B171" s="4">
        <v>186</v>
      </c>
      <c r="C171" s="4">
        <v>403</v>
      </c>
      <c r="D171" s="4">
        <v>614</v>
      </c>
      <c r="E171" s="4">
        <v>1203</v>
      </c>
    </row>
    <row r="172" spans="1:5" x14ac:dyDescent="0.35">
      <c r="A172" s="3" t="s">
        <v>106</v>
      </c>
      <c r="B172" s="4">
        <v>387</v>
      </c>
      <c r="C172" s="4">
        <v>262</v>
      </c>
      <c r="D172" s="4">
        <v>492</v>
      </c>
      <c r="E172" s="4">
        <v>1141</v>
      </c>
    </row>
    <row r="173" spans="1:5" x14ac:dyDescent="0.35">
      <c r="A173" s="3" t="s">
        <v>66</v>
      </c>
      <c r="B173" s="4">
        <v>287</v>
      </c>
      <c r="C173" s="4">
        <v>393</v>
      </c>
      <c r="D173" s="4">
        <v>433</v>
      </c>
      <c r="E173" s="4">
        <v>1113</v>
      </c>
    </row>
    <row r="174" spans="1:5" x14ac:dyDescent="0.35">
      <c r="A174" s="3" t="s">
        <v>116</v>
      </c>
      <c r="B174" s="4">
        <v>162</v>
      </c>
      <c r="C174" s="4">
        <v>120</v>
      </c>
      <c r="D174" s="4">
        <v>260</v>
      </c>
      <c r="E174" s="4">
        <v>542</v>
      </c>
    </row>
    <row r="175" spans="1:5" x14ac:dyDescent="0.35">
      <c r="A175" s="3" t="s">
        <v>91</v>
      </c>
      <c r="B175" s="4">
        <v>36</v>
      </c>
      <c r="C175" s="4">
        <v>102</v>
      </c>
      <c r="D175" s="4">
        <v>206</v>
      </c>
      <c r="E175" s="4">
        <v>344</v>
      </c>
    </row>
    <row r="176" spans="1:5" x14ac:dyDescent="0.35">
      <c r="A176" s="3" t="s">
        <v>47</v>
      </c>
      <c r="B176" s="4">
        <v>91</v>
      </c>
      <c r="C176" s="4">
        <v>124</v>
      </c>
      <c r="D176" s="4">
        <v>117</v>
      </c>
      <c r="E176" s="4">
        <v>332</v>
      </c>
    </row>
    <row r="177" spans="1:5" x14ac:dyDescent="0.35">
      <c r="A177" s="3" t="s">
        <v>179</v>
      </c>
      <c r="B177" s="4">
        <v>20</v>
      </c>
      <c r="C177" s="4">
        <v>22</v>
      </c>
      <c r="D177" s="4">
        <v>123</v>
      </c>
      <c r="E177" s="4">
        <v>165</v>
      </c>
    </row>
    <row r="178" spans="1:5" x14ac:dyDescent="0.35">
      <c r="A178" s="3" t="s">
        <v>251</v>
      </c>
      <c r="B178" s="4">
        <v>116</v>
      </c>
      <c r="C178" s="4">
        <v>10</v>
      </c>
      <c r="D178" s="4">
        <v>28</v>
      </c>
      <c r="E178" s="4">
        <v>154</v>
      </c>
    </row>
    <row r="179" spans="1:5" x14ac:dyDescent="0.35">
      <c r="A179" s="3" t="s">
        <v>225</v>
      </c>
      <c r="B179" s="4">
        <v>27</v>
      </c>
      <c r="C179" s="4">
        <v>61</v>
      </c>
      <c r="D179" s="4">
        <v>64</v>
      </c>
      <c r="E179" s="4">
        <v>152</v>
      </c>
    </row>
    <row r="180" spans="1:5" x14ac:dyDescent="0.35">
      <c r="A180" s="3" t="s">
        <v>97</v>
      </c>
      <c r="B180" s="4"/>
      <c r="C180" s="4">
        <v>62</v>
      </c>
      <c r="D180" s="4">
        <v>19</v>
      </c>
      <c r="E180" s="4">
        <v>81</v>
      </c>
    </row>
    <row r="181" spans="1:5" x14ac:dyDescent="0.35">
      <c r="A181" s="3" t="s">
        <v>102</v>
      </c>
      <c r="B181" s="4"/>
      <c r="C181" s="4">
        <v>31</v>
      </c>
      <c r="D181" s="4">
        <v>44</v>
      </c>
      <c r="E181" s="4">
        <v>75</v>
      </c>
    </row>
    <row r="182" spans="1:5" x14ac:dyDescent="0.35">
      <c r="A182" s="3" t="s">
        <v>669</v>
      </c>
      <c r="B182" s="4"/>
      <c r="C182" s="4"/>
      <c r="D182" s="4">
        <v>39</v>
      </c>
      <c r="E182" s="4">
        <v>39</v>
      </c>
    </row>
    <row r="183" spans="1:5" x14ac:dyDescent="0.35">
      <c r="A183" s="3" t="s">
        <v>1536</v>
      </c>
      <c r="B183" s="4">
        <v>2885</v>
      </c>
      <c r="C183" s="4">
        <v>3855</v>
      </c>
      <c r="D183" s="4">
        <v>6432</v>
      </c>
      <c r="E183" s="4">
        <v>13172</v>
      </c>
    </row>
  </sheetData>
  <sortState xmlns:xlrd2="http://schemas.microsoft.com/office/spreadsheetml/2017/richdata2" ref="G86:H103">
    <sortCondition descending="1" ref="H86:H103"/>
  </sortState>
  <pageMargins left="0.7" right="0.7" top="0.75" bottom="0.75" header="0.3" footer="0.3"/>
  <pageSetup paperSize="9" orientation="portrait" r:id="rId16"/>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1DAF7-DDF6-43BF-AAF1-3471315133CF}">
  <dimension ref="A1:O1001"/>
  <sheetViews>
    <sheetView topLeftCell="A136" workbookViewId="0">
      <selection sqref="A1:XFD1048576"/>
    </sheetView>
  </sheetViews>
  <sheetFormatPr defaultColWidth="15" defaultRowHeight="14.5" x14ac:dyDescent="0.35"/>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903994</v>
      </c>
      <c r="B2" t="s">
        <v>15</v>
      </c>
      <c r="C2" t="s">
        <v>16</v>
      </c>
      <c r="D2">
        <v>33</v>
      </c>
      <c r="E2" t="s">
        <v>17</v>
      </c>
      <c r="F2" s="1">
        <v>42373.756249999999</v>
      </c>
      <c r="G2" t="s">
        <v>18</v>
      </c>
      <c r="H2" t="s">
        <v>19</v>
      </c>
      <c r="I2" t="s">
        <v>20</v>
      </c>
      <c r="J2">
        <v>18</v>
      </c>
      <c r="K2" t="s">
        <v>21</v>
      </c>
      <c r="L2" t="s">
        <v>22</v>
      </c>
      <c r="M2" t="s">
        <v>23</v>
      </c>
      <c r="N2" t="s">
        <v>24</v>
      </c>
      <c r="O2" t="s">
        <v>25</v>
      </c>
    </row>
    <row r="3" spans="1:15" x14ac:dyDescent="0.35">
      <c r="A3">
        <v>802352</v>
      </c>
      <c r="B3" t="s">
        <v>26</v>
      </c>
      <c r="C3" t="s">
        <v>26</v>
      </c>
      <c r="D3">
        <v>0</v>
      </c>
      <c r="E3" t="s">
        <v>26</v>
      </c>
      <c r="F3" s="1">
        <v>42459.37777777778</v>
      </c>
      <c r="G3" t="s">
        <v>27</v>
      </c>
      <c r="H3" t="s">
        <v>28</v>
      </c>
      <c r="I3" t="s">
        <v>29</v>
      </c>
      <c r="J3">
        <v>9</v>
      </c>
      <c r="K3" t="s">
        <v>30</v>
      </c>
      <c r="L3" t="s">
        <v>31</v>
      </c>
      <c r="M3" t="s">
        <v>23</v>
      </c>
      <c r="N3" t="s">
        <v>32</v>
      </c>
      <c r="O3" t="s">
        <v>33</v>
      </c>
    </row>
    <row r="4" spans="1:15" x14ac:dyDescent="0.35">
      <c r="A4">
        <v>866125</v>
      </c>
      <c r="B4" t="s">
        <v>15</v>
      </c>
      <c r="C4" t="s">
        <v>34</v>
      </c>
      <c r="D4">
        <v>30</v>
      </c>
      <c r="E4" t="s">
        <v>35</v>
      </c>
      <c r="F4" s="1">
        <v>42459.709027777775</v>
      </c>
      <c r="G4" t="s">
        <v>36</v>
      </c>
      <c r="H4" t="s">
        <v>28</v>
      </c>
      <c r="I4" t="s">
        <v>37</v>
      </c>
      <c r="J4">
        <v>17</v>
      </c>
      <c r="K4" t="s">
        <v>30</v>
      </c>
      <c r="L4" t="s">
        <v>31</v>
      </c>
      <c r="M4" t="s">
        <v>23</v>
      </c>
      <c r="N4" t="s">
        <v>24</v>
      </c>
      <c r="O4" t="s">
        <v>25</v>
      </c>
    </row>
    <row r="5" spans="1:15" x14ac:dyDescent="0.35">
      <c r="A5">
        <v>2425604</v>
      </c>
      <c r="B5" t="s">
        <v>38</v>
      </c>
      <c r="C5" t="s">
        <v>39</v>
      </c>
      <c r="D5">
        <v>51</v>
      </c>
      <c r="E5" t="s">
        <v>35</v>
      </c>
      <c r="F5" s="1">
        <v>42454.640972222223</v>
      </c>
      <c r="G5" t="s">
        <v>40</v>
      </c>
      <c r="H5" t="s">
        <v>28</v>
      </c>
      <c r="I5" t="s">
        <v>41</v>
      </c>
      <c r="J5">
        <v>15</v>
      </c>
      <c r="K5" t="s">
        <v>42</v>
      </c>
      <c r="L5" t="s">
        <v>31</v>
      </c>
      <c r="M5" t="s">
        <v>23</v>
      </c>
      <c r="N5" t="s">
        <v>43</v>
      </c>
      <c r="O5" t="s">
        <v>44</v>
      </c>
    </row>
    <row r="6" spans="1:15" x14ac:dyDescent="0.35">
      <c r="A6">
        <v>793571</v>
      </c>
      <c r="B6" t="s">
        <v>38</v>
      </c>
      <c r="C6" t="s">
        <v>39</v>
      </c>
      <c r="D6">
        <v>9</v>
      </c>
      <c r="E6" t="s">
        <v>45</v>
      </c>
      <c r="F6" s="1">
        <v>42402.720833333333</v>
      </c>
      <c r="G6" t="s">
        <v>46</v>
      </c>
      <c r="H6" t="s">
        <v>47</v>
      </c>
      <c r="I6" t="s">
        <v>48</v>
      </c>
      <c r="J6">
        <v>17</v>
      </c>
      <c r="K6" t="s">
        <v>49</v>
      </c>
      <c r="L6" t="s">
        <v>50</v>
      </c>
      <c r="M6" t="s">
        <v>23</v>
      </c>
      <c r="N6" t="s">
        <v>32</v>
      </c>
      <c r="O6" t="s">
        <v>25</v>
      </c>
    </row>
    <row r="7" spans="1:15" x14ac:dyDescent="0.35">
      <c r="A7">
        <v>793571</v>
      </c>
      <c r="B7" t="s">
        <v>38</v>
      </c>
      <c r="C7" t="s">
        <v>39</v>
      </c>
      <c r="D7">
        <v>9</v>
      </c>
      <c r="E7" t="s">
        <v>45</v>
      </c>
      <c r="F7" s="1">
        <v>42447.705555555556</v>
      </c>
      <c r="G7" t="s">
        <v>40</v>
      </c>
      <c r="H7" t="s">
        <v>51</v>
      </c>
      <c r="I7" t="s">
        <v>52</v>
      </c>
      <c r="J7">
        <v>16</v>
      </c>
      <c r="K7" t="s">
        <v>42</v>
      </c>
      <c r="L7" t="s">
        <v>31</v>
      </c>
      <c r="M7" t="s">
        <v>23</v>
      </c>
      <c r="N7" t="s">
        <v>32</v>
      </c>
      <c r="O7" t="s">
        <v>44</v>
      </c>
    </row>
    <row r="8" spans="1:15" x14ac:dyDescent="0.35">
      <c r="A8">
        <v>793571</v>
      </c>
      <c r="B8" t="s">
        <v>38</v>
      </c>
      <c r="C8" t="s">
        <v>39</v>
      </c>
      <c r="D8">
        <v>9</v>
      </c>
      <c r="E8" t="s">
        <v>45</v>
      </c>
      <c r="F8" s="1">
        <v>42449.184027777781</v>
      </c>
      <c r="G8" t="s">
        <v>53</v>
      </c>
      <c r="H8" t="s">
        <v>54</v>
      </c>
      <c r="I8" t="s">
        <v>55</v>
      </c>
      <c r="J8">
        <v>4</v>
      </c>
      <c r="K8" t="s">
        <v>56</v>
      </c>
      <c r="L8" t="s">
        <v>31</v>
      </c>
      <c r="M8" t="s">
        <v>57</v>
      </c>
      <c r="N8" t="s">
        <v>32</v>
      </c>
      <c r="O8" t="s">
        <v>58</v>
      </c>
    </row>
    <row r="9" spans="1:15" x14ac:dyDescent="0.35">
      <c r="A9">
        <v>793571</v>
      </c>
      <c r="B9" t="s">
        <v>38</v>
      </c>
      <c r="C9" t="s">
        <v>39</v>
      </c>
      <c r="D9">
        <v>9</v>
      </c>
      <c r="E9" t="s">
        <v>45</v>
      </c>
      <c r="F9" s="1">
        <v>42403.279861111114</v>
      </c>
      <c r="G9" t="s">
        <v>59</v>
      </c>
      <c r="H9" t="s">
        <v>51</v>
      </c>
      <c r="I9" t="s">
        <v>60</v>
      </c>
      <c r="J9">
        <v>6</v>
      </c>
      <c r="K9" t="s">
        <v>30</v>
      </c>
      <c r="L9" t="s">
        <v>50</v>
      </c>
      <c r="M9" t="s">
        <v>23</v>
      </c>
      <c r="N9" t="s">
        <v>32</v>
      </c>
      <c r="O9" t="s">
        <v>33</v>
      </c>
    </row>
    <row r="10" spans="1:15" x14ac:dyDescent="0.35">
      <c r="A10">
        <v>819248</v>
      </c>
      <c r="B10" t="s">
        <v>26</v>
      </c>
      <c r="C10" t="s">
        <v>26</v>
      </c>
      <c r="D10">
        <v>0</v>
      </c>
      <c r="E10" t="s">
        <v>26</v>
      </c>
      <c r="F10" s="1">
        <v>42460.417361111111</v>
      </c>
      <c r="G10" t="s">
        <v>61</v>
      </c>
      <c r="H10" t="s">
        <v>54</v>
      </c>
      <c r="I10" t="s">
        <v>62</v>
      </c>
      <c r="J10">
        <v>10</v>
      </c>
      <c r="K10" t="s">
        <v>63</v>
      </c>
      <c r="L10" t="s">
        <v>31</v>
      </c>
      <c r="M10" t="s">
        <v>23</v>
      </c>
      <c r="N10" t="s">
        <v>32</v>
      </c>
      <c r="O10" t="s">
        <v>33</v>
      </c>
    </row>
    <row r="11" spans="1:15" x14ac:dyDescent="0.35">
      <c r="A11">
        <v>820321</v>
      </c>
      <c r="B11" t="s">
        <v>15</v>
      </c>
      <c r="C11" t="s">
        <v>34</v>
      </c>
      <c r="D11">
        <v>26</v>
      </c>
      <c r="E11" t="s">
        <v>64</v>
      </c>
      <c r="F11" s="1">
        <v>42378.350694444445</v>
      </c>
      <c r="G11" t="s">
        <v>65</v>
      </c>
      <c r="H11" t="s">
        <v>66</v>
      </c>
      <c r="I11" t="s">
        <v>67</v>
      </c>
      <c r="J11">
        <v>8</v>
      </c>
      <c r="K11" t="s">
        <v>68</v>
      </c>
      <c r="L11" t="s">
        <v>22</v>
      </c>
      <c r="M11" t="s">
        <v>57</v>
      </c>
      <c r="N11" t="s">
        <v>69</v>
      </c>
      <c r="O11" t="s">
        <v>33</v>
      </c>
    </row>
    <row r="12" spans="1:15" x14ac:dyDescent="0.35">
      <c r="A12">
        <v>892453</v>
      </c>
      <c r="B12" t="s">
        <v>15</v>
      </c>
      <c r="C12" t="s">
        <v>34</v>
      </c>
      <c r="D12">
        <v>34</v>
      </c>
      <c r="E12" t="s">
        <v>35</v>
      </c>
      <c r="F12" s="1">
        <v>42453.381249999999</v>
      </c>
      <c r="G12" t="s">
        <v>70</v>
      </c>
      <c r="H12" t="s">
        <v>71</v>
      </c>
      <c r="I12" t="s">
        <v>72</v>
      </c>
      <c r="J12">
        <v>9</v>
      </c>
      <c r="K12" t="s">
        <v>63</v>
      </c>
      <c r="L12" t="s">
        <v>31</v>
      </c>
      <c r="M12" t="s">
        <v>23</v>
      </c>
      <c r="N12" t="s">
        <v>24</v>
      </c>
      <c r="O12" t="s">
        <v>33</v>
      </c>
    </row>
    <row r="13" spans="1:15" x14ac:dyDescent="0.35">
      <c r="A13">
        <v>892453</v>
      </c>
      <c r="B13" t="s">
        <v>15</v>
      </c>
      <c r="C13" t="s">
        <v>34</v>
      </c>
      <c r="D13">
        <v>34</v>
      </c>
      <c r="E13" t="s">
        <v>35</v>
      </c>
      <c r="F13" s="1">
        <v>42455.647916666669</v>
      </c>
      <c r="G13" t="s">
        <v>73</v>
      </c>
      <c r="H13" t="s">
        <v>28</v>
      </c>
      <c r="I13" t="s">
        <v>74</v>
      </c>
      <c r="J13">
        <v>15</v>
      </c>
      <c r="K13" t="s">
        <v>68</v>
      </c>
      <c r="L13" t="s">
        <v>31</v>
      </c>
      <c r="M13" t="s">
        <v>57</v>
      </c>
      <c r="N13" t="s">
        <v>24</v>
      </c>
      <c r="O13" t="s">
        <v>44</v>
      </c>
    </row>
    <row r="14" spans="1:15" x14ac:dyDescent="0.35">
      <c r="A14">
        <v>828799</v>
      </c>
      <c r="B14" t="s">
        <v>15</v>
      </c>
      <c r="C14" t="s">
        <v>26</v>
      </c>
      <c r="D14">
        <v>38</v>
      </c>
      <c r="E14" t="s">
        <v>75</v>
      </c>
      <c r="F14" s="1">
        <v>42428.339583333334</v>
      </c>
      <c r="G14" t="s">
        <v>76</v>
      </c>
      <c r="H14" t="s">
        <v>54</v>
      </c>
      <c r="I14" t="s">
        <v>77</v>
      </c>
      <c r="J14">
        <v>8</v>
      </c>
      <c r="K14" t="s">
        <v>56</v>
      </c>
      <c r="L14" t="s">
        <v>50</v>
      </c>
      <c r="M14" t="s">
        <v>57</v>
      </c>
      <c r="N14" t="s">
        <v>24</v>
      </c>
      <c r="O14" t="s">
        <v>33</v>
      </c>
    </row>
    <row r="15" spans="1:15" x14ac:dyDescent="0.35">
      <c r="A15">
        <v>787656</v>
      </c>
      <c r="B15" t="s">
        <v>15</v>
      </c>
      <c r="C15" t="s">
        <v>78</v>
      </c>
      <c r="D15">
        <v>26</v>
      </c>
      <c r="E15" t="s">
        <v>35</v>
      </c>
      <c r="F15" s="1">
        <v>42415.361111111109</v>
      </c>
      <c r="G15" t="s">
        <v>79</v>
      </c>
      <c r="H15" t="s">
        <v>54</v>
      </c>
      <c r="I15" t="s">
        <v>80</v>
      </c>
      <c r="J15">
        <v>8</v>
      </c>
      <c r="K15" t="s">
        <v>21</v>
      </c>
      <c r="L15" t="s">
        <v>50</v>
      </c>
      <c r="M15" t="s">
        <v>23</v>
      </c>
      <c r="N15" t="s">
        <v>69</v>
      </c>
      <c r="O15" t="s">
        <v>33</v>
      </c>
    </row>
    <row r="16" spans="1:15" x14ac:dyDescent="0.35">
      <c r="A16">
        <v>939566</v>
      </c>
      <c r="B16" t="s">
        <v>15</v>
      </c>
      <c r="C16" t="s">
        <v>26</v>
      </c>
      <c r="D16">
        <v>29</v>
      </c>
      <c r="E16" t="s">
        <v>75</v>
      </c>
      <c r="F16" s="1">
        <v>42378.652777777781</v>
      </c>
      <c r="G16" t="s">
        <v>81</v>
      </c>
      <c r="H16" t="s">
        <v>71</v>
      </c>
      <c r="I16" t="s">
        <v>82</v>
      </c>
      <c r="J16">
        <v>15</v>
      </c>
      <c r="K16" t="s">
        <v>68</v>
      </c>
      <c r="L16" t="s">
        <v>22</v>
      </c>
      <c r="M16" t="s">
        <v>57</v>
      </c>
      <c r="N16" t="s">
        <v>24</v>
      </c>
      <c r="O16" t="s">
        <v>44</v>
      </c>
    </row>
    <row r="17" spans="1:15" x14ac:dyDescent="0.35">
      <c r="A17">
        <v>771778</v>
      </c>
      <c r="B17" t="s">
        <v>15</v>
      </c>
      <c r="C17" t="s">
        <v>78</v>
      </c>
      <c r="D17">
        <v>21</v>
      </c>
      <c r="E17" t="s">
        <v>45</v>
      </c>
      <c r="F17" s="1">
        <v>42405.574305555558</v>
      </c>
      <c r="G17" t="s">
        <v>83</v>
      </c>
      <c r="H17" t="s">
        <v>71</v>
      </c>
      <c r="I17" t="s">
        <v>84</v>
      </c>
      <c r="J17">
        <v>13</v>
      </c>
      <c r="K17" t="s">
        <v>42</v>
      </c>
      <c r="L17" t="s">
        <v>50</v>
      </c>
      <c r="M17" t="s">
        <v>23</v>
      </c>
      <c r="N17" t="s">
        <v>69</v>
      </c>
      <c r="O17" t="s">
        <v>44</v>
      </c>
    </row>
    <row r="18" spans="1:15" x14ac:dyDescent="0.35">
      <c r="A18">
        <v>808915</v>
      </c>
      <c r="B18" t="s">
        <v>15</v>
      </c>
      <c r="C18" t="s">
        <v>78</v>
      </c>
      <c r="D18">
        <v>37</v>
      </c>
      <c r="E18" t="s">
        <v>64</v>
      </c>
      <c r="F18" s="1">
        <v>42420.231944444444</v>
      </c>
      <c r="G18" t="s">
        <v>85</v>
      </c>
      <c r="H18" t="s">
        <v>86</v>
      </c>
      <c r="I18" t="s">
        <v>87</v>
      </c>
      <c r="J18">
        <v>5</v>
      </c>
      <c r="K18" t="s">
        <v>68</v>
      </c>
      <c r="L18" t="s">
        <v>50</v>
      </c>
      <c r="M18" t="s">
        <v>57</v>
      </c>
      <c r="N18" t="s">
        <v>24</v>
      </c>
      <c r="O18" t="s">
        <v>33</v>
      </c>
    </row>
    <row r="19" spans="1:15" x14ac:dyDescent="0.35">
      <c r="A19">
        <v>808915</v>
      </c>
      <c r="B19" t="s">
        <v>15</v>
      </c>
      <c r="C19" t="s">
        <v>78</v>
      </c>
      <c r="D19">
        <v>37</v>
      </c>
      <c r="E19" t="s">
        <v>64</v>
      </c>
      <c r="F19" s="1">
        <v>42421.572916666664</v>
      </c>
      <c r="G19" t="s">
        <v>88</v>
      </c>
      <c r="H19" t="s">
        <v>71</v>
      </c>
      <c r="I19" t="s">
        <v>89</v>
      </c>
      <c r="J19">
        <v>13</v>
      </c>
      <c r="K19" t="s">
        <v>56</v>
      </c>
      <c r="L19" t="s">
        <v>50</v>
      </c>
      <c r="M19" t="s">
        <v>57</v>
      </c>
      <c r="N19" t="s">
        <v>24</v>
      </c>
      <c r="O19" t="s">
        <v>44</v>
      </c>
    </row>
    <row r="20" spans="1:15" x14ac:dyDescent="0.35">
      <c r="A20">
        <v>808916</v>
      </c>
      <c r="B20" t="s">
        <v>15</v>
      </c>
      <c r="C20" t="s">
        <v>26</v>
      </c>
      <c r="D20">
        <v>43</v>
      </c>
      <c r="E20" t="s">
        <v>17</v>
      </c>
      <c r="F20" s="1">
        <v>42419.460416666669</v>
      </c>
      <c r="G20" t="s">
        <v>90</v>
      </c>
      <c r="H20" t="s">
        <v>91</v>
      </c>
      <c r="I20" t="s">
        <v>92</v>
      </c>
      <c r="J20">
        <v>11</v>
      </c>
      <c r="K20" t="s">
        <v>42</v>
      </c>
      <c r="L20" t="s">
        <v>50</v>
      </c>
      <c r="M20" t="s">
        <v>23</v>
      </c>
      <c r="N20" t="s">
        <v>93</v>
      </c>
      <c r="O20" t="s">
        <v>44</v>
      </c>
    </row>
    <row r="21" spans="1:15" x14ac:dyDescent="0.35">
      <c r="A21">
        <v>808916</v>
      </c>
      <c r="B21" t="s">
        <v>15</v>
      </c>
      <c r="C21" t="s">
        <v>26</v>
      </c>
      <c r="D21">
        <v>43</v>
      </c>
      <c r="E21" t="s">
        <v>17</v>
      </c>
      <c r="F21" s="1">
        <v>42419.84375</v>
      </c>
      <c r="G21" t="s">
        <v>76</v>
      </c>
      <c r="H21" t="s">
        <v>51</v>
      </c>
      <c r="I21" t="s">
        <v>94</v>
      </c>
      <c r="J21">
        <v>20</v>
      </c>
      <c r="K21" t="s">
        <v>42</v>
      </c>
      <c r="L21" t="s">
        <v>50</v>
      </c>
      <c r="M21" t="s">
        <v>23</v>
      </c>
      <c r="N21" t="s">
        <v>93</v>
      </c>
      <c r="O21" t="s">
        <v>25</v>
      </c>
    </row>
    <row r="22" spans="1:15" x14ac:dyDescent="0.35">
      <c r="A22">
        <v>831679</v>
      </c>
      <c r="B22" t="s">
        <v>15</v>
      </c>
      <c r="C22" t="s">
        <v>16</v>
      </c>
      <c r="D22">
        <v>27</v>
      </c>
      <c r="E22" t="s">
        <v>35</v>
      </c>
      <c r="F22" s="1">
        <v>42430.136805555558</v>
      </c>
      <c r="G22" t="s">
        <v>88</v>
      </c>
      <c r="H22" t="s">
        <v>71</v>
      </c>
      <c r="I22" t="s">
        <v>95</v>
      </c>
      <c r="J22">
        <v>3</v>
      </c>
      <c r="K22" t="s">
        <v>49</v>
      </c>
      <c r="L22" t="s">
        <v>31</v>
      </c>
      <c r="M22" t="s">
        <v>23</v>
      </c>
      <c r="N22" t="s">
        <v>69</v>
      </c>
      <c r="O22" t="s">
        <v>58</v>
      </c>
    </row>
    <row r="23" spans="1:15" x14ac:dyDescent="0.35">
      <c r="A23">
        <v>808917</v>
      </c>
      <c r="B23" t="s">
        <v>15</v>
      </c>
      <c r="C23" t="s">
        <v>78</v>
      </c>
      <c r="D23">
        <v>34</v>
      </c>
      <c r="E23" t="s">
        <v>35</v>
      </c>
      <c r="F23" s="1">
        <v>42427.759027777778</v>
      </c>
      <c r="G23" t="s">
        <v>96</v>
      </c>
      <c r="H23" t="s">
        <v>97</v>
      </c>
      <c r="I23" t="s">
        <v>98</v>
      </c>
      <c r="J23">
        <v>18</v>
      </c>
      <c r="K23" t="s">
        <v>68</v>
      </c>
      <c r="L23" t="s">
        <v>50</v>
      </c>
      <c r="M23" t="s">
        <v>57</v>
      </c>
      <c r="N23" t="s">
        <v>24</v>
      </c>
      <c r="O23" t="s">
        <v>25</v>
      </c>
    </row>
    <row r="24" spans="1:15" x14ac:dyDescent="0.35">
      <c r="A24">
        <v>808917</v>
      </c>
      <c r="B24" t="s">
        <v>15</v>
      </c>
      <c r="C24" t="s">
        <v>78</v>
      </c>
      <c r="D24">
        <v>34</v>
      </c>
      <c r="E24" t="s">
        <v>35</v>
      </c>
      <c r="F24" s="1">
        <v>42428.847222222219</v>
      </c>
      <c r="G24" t="s">
        <v>99</v>
      </c>
      <c r="H24" t="s">
        <v>71</v>
      </c>
      <c r="I24" t="s">
        <v>100</v>
      </c>
      <c r="J24">
        <v>20</v>
      </c>
      <c r="K24" t="s">
        <v>56</v>
      </c>
      <c r="L24" t="s">
        <v>50</v>
      </c>
      <c r="M24" t="s">
        <v>57</v>
      </c>
      <c r="N24" t="s">
        <v>24</v>
      </c>
      <c r="O24" t="s">
        <v>25</v>
      </c>
    </row>
    <row r="25" spans="1:15" x14ac:dyDescent="0.35">
      <c r="A25">
        <v>939570</v>
      </c>
      <c r="B25" t="s">
        <v>15</v>
      </c>
      <c r="C25" t="s">
        <v>26</v>
      </c>
      <c r="D25">
        <v>22</v>
      </c>
      <c r="E25" t="s">
        <v>35</v>
      </c>
      <c r="F25" s="1">
        <v>42459.994444444441</v>
      </c>
      <c r="G25" t="s">
        <v>101</v>
      </c>
      <c r="H25" t="s">
        <v>102</v>
      </c>
      <c r="I25" t="s">
        <v>103</v>
      </c>
      <c r="J25">
        <v>23</v>
      </c>
      <c r="K25" t="s">
        <v>30</v>
      </c>
      <c r="L25" t="s">
        <v>31</v>
      </c>
      <c r="M25" t="s">
        <v>23</v>
      </c>
      <c r="N25" t="s">
        <v>69</v>
      </c>
      <c r="O25" t="s">
        <v>104</v>
      </c>
    </row>
    <row r="26" spans="1:15" x14ac:dyDescent="0.35">
      <c r="A26">
        <v>880213</v>
      </c>
      <c r="B26" t="s">
        <v>15</v>
      </c>
      <c r="C26" t="s">
        <v>34</v>
      </c>
      <c r="D26">
        <v>33</v>
      </c>
      <c r="E26" t="s">
        <v>35</v>
      </c>
      <c r="F26" s="1">
        <v>42459.800694444442</v>
      </c>
      <c r="G26" t="s">
        <v>105</v>
      </c>
      <c r="H26" t="s">
        <v>106</v>
      </c>
      <c r="I26" t="s">
        <v>107</v>
      </c>
      <c r="J26">
        <v>19</v>
      </c>
      <c r="K26" t="s">
        <v>30</v>
      </c>
      <c r="L26" t="s">
        <v>31</v>
      </c>
      <c r="M26" t="s">
        <v>23</v>
      </c>
      <c r="N26" t="s">
        <v>24</v>
      </c>
      <c r="O26" t="s">
        <v>25</v>
      </c>
    </row>
    <row r="27" spans="1:15" x14ac:dyDescent="0.35">
      <c r="A27">
        <v>2255459</v>
      </c>
      <c r="B27" t="s">
        <v>15</v>
      </c>
      <c r="C27" t="s">
        <v>78</v>
      </c>
      <c r="D27">
        <v>22</v>
      </c>
      <c r="E27" t="s">
        <v>75</v>
      </c>
      <c r="F27" s="1">
        <v>42438.368750000001</v>
      </c>
      <c r="G27" t="s">
        <v>108</v>
      </c>
      <c r="H27" t="s">
        <v>47</v>
      </c>
      <c r="I27" t="s">
        <v>109</v>
      </c>
      <c r="J27">
        <v>8</v>
      </c>
      <c r="K27" t="s">
        <v>30</v>
      </c>
      <c r="L27" t="s">
        <v>31</v>
      </c>
      <c r="M27" t="s">
        <v>23</v>
      </c>
      <c r="N27" t="s">
        <v>69</v>
      </c>
      <c r="O27" t="s">
        <v>33</v>
      </c>
    </row>
    <row r="28" spans="1:15" x14ac:dyDescent="0.35">
      <c r="A28">
        <v>2255459</v>
      </c>
      <c r="B28" t="s">
        <v>15</v>
      </c>
      <c r="C28" t="s">
        <v>78</v>
      </c>
      <c r="D28">
        <v>22</v>
      </c>
      <c r="E28" t="s">
        <v>75</v>
      </c>
      <c r="F28" s="1">
        <v>42458.099305555559</v>
      </c>
      <c r="G28" t="s">
        <v>110</v>
      </c>
      <c r="H28" t="s">
        <v>54</v>
      </c>
      <c r="I28" t="s">
        <v>111</v>
      </c>
      <c r="J28">
        <v>2</v>
      </c>
      <c r="K28" t="s">
        <v>49</v>
      </c>
      <c r="L28" t="s">
        <v>31</v>
      </c>
      <c r="M28" t="s">
        <v>23</v>
      </c>
      <c r="N28" t="s">
        <v>69</v>
      </c>
      <c r="O28" t="s">
        <v>58</v>
      </c>
    </row>
    <row r="29" spans="1:15" x14ac:dyDescent="0.35">
      <c r="A29">
        <v>808921</v>
      </c>
      <c r="B29" t="s">
        <v>15</v>
      </c>
      <c r="C29" t="s">
        <v>78</v>
      </c>
      <c r="D29">
        <v>24</v>
      </c>
      <c r="E29" t="s">
        <v>75</v>
      </c>
      <c r="F29" s="1">
        <v>42431.250694444447</v>
      </c>
      <c r="G29" t="s">
        <v>112</v>
      </c>
      <c r="H29" t="s">
        <v>19</v>
      </c>
      <c r="I29" t="s">
        <v>113</v>
      </c>
      <c r="J29">
        <v>6</v>
      </c>
      <c r="K29" t="s">
        <v>30</v>
      </c>
      <c r="L29" t="s">
        <v>31</v>
      </c>
      <c r="M29" t="s">
        <v>23</v>
      </c>
      <c r="N29" t="s">
        <v>69</v>
      </c>
      <c r="O29" t="s">
        <v>33</v>
      </c>
    </row>
    <row r="30" spans="1:15" x14ac:dyDescent="0.35">
      <c r="A30">
        <v>808921</v>
      </c>
      <c r="B30" t="s">
        <v>15</v>
      </c>
      <c r="C30" t="s">
        <v>78</v>
      </c>
      <c r="D30">
        <v>24</v>
      </c>
      <c r="E30" t="s">
        <v>75</v>
      </c>
      <c r="F30" s="1">
        <v>42435.665277777778</v>
      </c>
      <c r="G30" t="s">
        <v>114</v>
      </c>
      <c r="H30" t="s">
        <v>54</v>
      </c>
      <c r="I30" t="s">
        <v>115</v>
      </c>
      <c r="J30">
        <v>15</v>
      </c>
      <c r="K30" t="s">
        <v>56</v>
      </c>
      <c r="L30" t="s">
        <v>31</v>
      </c>
      <c r="M30" t="s">
        <v>57</v>
      </c>
      <c r="N30" t="s">
        <v>69</v>
      </c>
      <c r="O30" t="s">
        <v>44</v>
      </c>
    </row>
    <row r="31" spans="1:15" x14ac:dyDescent="0.35">
      <c r="A31">
        <v>831683</v>
      </c>
      <c r="B31" t="s">
        <v>15</v>
      </c>
      <c r="C31" t="s">
        <v>34</v>
      </c>
      <c r="D31">
        <v>36</v>
      </c>
      <c r="E31" t="s">
        <v>64</v>
      </c>
      <c r="F31" s="1">
        <v>42425.824999999997</v>
      </c>
      <c r="G31" t="s">
        <v>36</v>
      </c>
      <c r="H31" t="s">
        <v>116</v>
      </c>
      <c r="I31" t="s">
        <v>117</v>
      </c>
      <c r="J31">
        <v>19</v>
      </c>
      <c r="K31" t="s">
        <v>63</v>
      </c>
      <c r="L31" t="s">
        <v>50</v>
      </c>
      <c r="M31" t="s">
        <v>23</v>
      </c>
      <c r="N31" t="s">
        <v>24</v>
      </c>
      <c r="O31" t="s">
        <v>25</v>
      </c>
    </row>
    <row r="32" spans="1:15" x14ac:dyDescent="0.35">
      <c r="A32">
        <v>831683</v>
      </c>
      <c r="B32" t="s">
        <v>15</v>
      </c>
      <c r="C32" t="s">
        <v>34</v>
      </c>
      <c r="D32">
        <v>36</v>
      </c>
      <c r="E32" t="s">
        <v>64</v>
      </c>
      <c r="F32" s="1">
        <v>42425.665972222225</v>
      </c>
      <c r="G32" t="s">
        <v>76</v>
      </c>
      <c r="H32" t="s">
        <v>106</v>
      </c>
      <c r="I32" t="s">
        <v>118</v>
      </c>
      <c r="J32">
        <v>15</v>
      </c>
      <c r="K32" t="s">
        <v>63</v>
      </c>
      <c r="L32" t="s">
        <v>50</v>
      </c>
      <c r="M32" t="s">
        <v>23</v>
      </c>
      <c r="N32" t="s">
        <v>24</v>
      </c>
      <c r="O32" t="s">
        <v>44</v>
      </c>
    </row>
    <row r="33" spans="1:15" x14ac:dyDescent="0.35">
      <c r="A33">
        <v>831683</v>
      </c>
      <c r="B33" t="s">
        <v>15</v>
      </c>
      <c r="C33" t="s">
        <v>34</v>
      </c>
      <c r="D33">
        <v>36</v>
      </c>
      <c r="E33" t="s">
        <v>64</v>
      </c>
      <c r="F33" s="1">
        <v>42433.306250000001</v>
      </c>
      <c r="G33" t="s">
        <v>76</v>
      </c>
      <c r="H33" t="s">
        <v>28</v>
      </c>
      <c r="I33" t="s">
        <v>119</v>
      </c>
      <c r="J33">
        <v>7</v>
      </c>
      <c r="K33" t="s">
        <v>42</v>
      </c>
      <c r="L33" t="s">
        <v>31</v>
      </c>
      <c r="M33" t="s">
        <v>23</v>
      </c>
      <c r="N33" t="s">
        <v>24</v>
      </c>
      <c r="O33" t="s">
        <v>33</v>
      </c>
    </row>
    <row r="34" spans="1:15" x14ac:dyDescent="0.35">
      <c r="A34">
        <v>761775</v>
      </c>
      <c r="B34" t="s">
        <v>15</v>
      </c>
      <c r="C34" t="s">
        <v>26</v>
      </c>
      <c r="D34">
        <v>24</v>
      </c>
      <c r="E34" t="s">
        <v>35</v>
      </c>
      <c r="F34" s="1">
        <v>42404.591666666667</v>
      </c>
      <c r="G34" t="s">
        <v>120</v>
      </c>
      <c r="H34" t="s">
        <v>66</v>
      </c>
      <c r="I34" t="s">
        <v>121</v>
      </c>
      <c r="J34">
        <v>14</v>
      </c>
      <c r="K34" t="s">
        <v>63</v>
      </c>
      <c r="L34" t="s">
        <v>50</v>
      </c>
      <c r="M34" t="s">
        <v>23</v>
      </c>
      <c r="N34" t="s">
        <v>69</v>
      </c>
      <c r="O34" t="s">
        <v>44</v>
      </c>
    </row>
    <row r="35" spans="1:15" x14ac:dyDescent="0.35">
      <c r="A35">
        <v>761775</v>
      </c>
      <c r="B35" t="s">
        <v>15</v>
      </c>
      <c r="C35" t="s">
        <v>26</v>
      </c>
      <c r="D35">
        <v>24</v>
      </c>
      <c r="E35" t="s">
        <v>35</v>
      </c>
      <c r="F35" s="1">
        <v>42394.665972222225</v>
      </c>
      <c r="G35" t="s">
        <v>85</v>
      </c>
      <c r="H35" t="s">
        <v>86</v>
      </c>
      <c r="I35" t="s">
        <v>122</v>
      </c>
      <c r="J35">
        <v>15</v>
      </c>
      <c r="K35" t="s">
        <v>21</v>
      </c>
      <c r="L35" t="s">
        <v>22</v>
      </c>
      <c r="M35" t="s">
        <v>23</v>
      </c>
      <c r="N35" t="s">
        <v>69</v>
      </c>
      <c r="O35" t="s">
        <v>44</v>
      </c>
    </row>
    <row r="36" spans="1:15" x14ac:dyDescent="0.35">
      <c r="A36">
        <v>866131</v>
      </c>
      <c r="B36" t="s">
        <v>15</v>
      </c>
      <c r="C36" t="s">
        <v>78</v>
      </c>
      <c r="D36">
        <v>44</v>
      </c>
      <c r="E36" t="s">
        <v>17</v>
      </c>
      <c r="F36" s="1">
        <v>42436.719444444447</v>
      </c>
      <c r="G36" t="s">
        <v>123</v>
      </c>
      <c r="H36" t="s">
        <v>51</v>
      </c>
      <c r="I36" t="s">
        <v>124</v>
      </c>
      <c r="J36">
        <v>17</v>
      </c>
      <c r="K36" t="s">
        <v>21</v>
      </c>
      <c r="L36" t="s">
        <v>31</v>
      </c>
      <c r="M36" t="s">
        <v>23</v>
      </c>
      <c r="N36" t="s">
        <v>93</v>
      </c>
      <c r="O36" t="s">
        <v>25</v>
      </c>
    </row>
    <row r="37" spans="1:15" x14ac:dyDescent="0.35">
      <c r="A37">
        <v>904019</v>
      </c>
      <c r="B37" t="s">
        <v>38</v>
      </c>
      <c r="C37" t="s">
        <v>78</v>
      </c>
      <c r="D37">
        <v>25</v>
      </c>
      <c r="E37" t="s">
        <v>35</v>
      </c>
      <c r="F37" s="1">
        <v>42458.668749999997</v>
      </c>
      <c r="G37" t="s">
        <v>125</v>
      </c>
      <c r="H37" t="s">
        <v>106</v>
      </c>
      <c r="I37" t="s">
        <v>126</v>
      </c>
      <c r="J37">
        <v>16</v>
      </c>
      <c r="K37" t="s">
        <v>49</v>
      </c>
      <c r="L37" t="s">
        <v>31</v>
      </c>
      <c r="M37" t="s">
        <v>23</v>
      </c>
      <c r="N37" t="s">
        <v>69</v>
      </c>
      <c r="O37" t="s">
        <v>44</v>
      </c>
    </row>
    <row r="38" spans="1:15" x14ac:dyDescent="0.35">
      <c r="A38">
        <v>939575</v>
      </c>
      <c r="B38" t="s">
        <v>15</v>
      </c>
      <c r="C38" t="s">
        <v>78</v>
      </c>
      <c r="D38">
        <v>25</v>
      </c>
      <c r="E38" t="s">
        <v>35</v>
      </c>
      <c r="F38" s="1">
        <v>42439.895833333336</v>
      </c>
      <c r="G38" t="s">
        <v>127</v>
      </c>
      <c r="H38" t="s">
        <v>106</v>
      </c>
      <c r="I38" t="s">
        <v>128</v>
      </c>
      <c r="J38">
        <v>21</v>
      </c>
      <c r="K38" t="s">
        <v>63</v>
      </c>
      <c r="L38" t="s">
        <v>31</v>
      </c>
      <c r="M38" t="s">
        <v>23</v>
      </c>
      <c r="N38" t="s">
        <v>69</v>
      </c>
      <c r="O38" t="s">
        <v>25</v>
      </c>
    </row>
    <row r="39" spans="1:15" x14ac:dyDescent="0.35">
      <c r="A39">
        <v>808923</v>
      </c>
      <c r="B39" t="s">
        <v>15</v>
      </c>
      <c r="C39" t="s">
        <v>129</v>
      </c>
      <c r="D39">
        <v>23</v>
      </c>
      <c r="E39" t="s">
        <v>45</v>
      </c>
      <c r="F39" s="1">
        <v>42421.752083333333</v>
      </c>
      <c r="G39" t="s">
        <v>130</v>
      </c>
      <c r="H39" t="s">
        <v>86</v>
      </c>
      <c r="I39" t="s">
        <v>131</v>
      </c>
      <c r="J39">
        <v>18</v>
      </c>
      <c r="K39" t="s">
        <v>56</v>
      </c>
      <c r="L39" t="s">
        <v>50</v>
      </c>
      <c r="M39" t="s">
        <v>57</v>
      </c>
      <c r="N39" t="s">
        <v>69</v>
      </c>
      <c r="O39" t="s">
        <v>25</v>
      </c>
    </row>
    <row r="40" spans="1:15" x14ac:dyDescent="0.35">
      <c r="A40">
        <v>808923</v>
      </c>
      <c r="B40" t="s">
        <v>15</v>
      </c>
      <c r="C40" t="s">
        <v>129</v>
      </c>
      <c r="D40">
        <v>23</v>
      </c>
      <c r="E40" t="s">
        <v>45</v>
      </c>
      <c r="F40" s="1">
        <v>42417.78125</v>
      </c>
      <c r="G40" t="s">
        <v>132</v>
      </c>
      <c r="H40" t="s">
        <v>19</v>
      </c>
      <c r="I40" t="s">
        <v>133</v>
      </c>
      <c r="J40">
        <v>18</v>
      </c>
      <c r="K40" t="s">
        <v>30</v>
      </c>
      <c r="L40" t="s">
        <v>50</v>
      </c>
      <c r="M40" t="s">
        <v>23</v>
      </c>
      <c r="N40" t="s">
        <v>69</v>
      </c>
      <c r="O40" t="s">
        <v>25</v>
      </c>
    </row>
    <row r="41" spans="1:15" x14ac:dyDescent="0.35">
      <c r="A41">
        <v>933014</v>
      </c>
      <c r="B41" t="s">
        <v>15</v>
      </c>
      <c r="C41" t="s">
        <v>78</v>
      </c>
      <c r="D41">
        <v>19</v>
      </c>
      <c r="E41" t="s">
        <v>134</v>
      </c>
      <c r="F41" s="1">
        <v>42460.974999999999</v>
      </c>
      <c r="G41" t="s">
        <v>76</v>
      </c>
      <c r="H41" t="s">
        <v>51</v>
      </c>
      <c r="I41" t="s">
        <v>135</v>
      </c>
      <c r="J41">
        <v>23</v>
      </c>
      <c r="K41" t="s">
        <v>63</v>
      </c>
      <c r="L41" t="s">
        <v>31</v>
      </c>
      <c r="M41" t="s">
        <v>23</v>
      </c>
      <c r="N41" t="s">
        <v>69</v>
      </c>
      <c r="O41" t="s">
        <v>104</v>
      </c>
    </row>
    <row r="42" spans="1:15" x14ac:dyDescent="0.35">
      <c r="A42">
        <v>892461</v>
      </c>
      <c r="B42" t="s">
        <v>15</v>
      </c>
      <c r="C42" t="s">
        <v>34</v>
      </c>
      <c r="D42">
        <v>30</v>
      </c>
      <c r="E42" t="s">
        <v>64</v>
      </c>
      <c r="F42" s="1">
        <v>42441.35</v>
      </c>
      <c r="G42" t="s">
        <v>136</v>
      </c>
      <c r="H42" t="s">
        <v>47</v>
      </c>
      <c r="I42" t="s">
        <v>137</v>
      </c>
      <c r="J42">
        <v>8</v>
      </c>
      <c r="K42" t="s">
        <v>68</v>
      </c>
      <c r="L42" t="s">
        <v>31</v>
      </c>
      <c r="M42" t="s">
        <v>57</v>
      </c>
      <c r="N42" t="s">
        <v>24</v>
      </c>
      <c r="O42" t="s">
        <v>33</v>
      </c>
    </row>
    <row r="43" spans="1:15" x14ac:dyDescent="0.35">
      <c r="A43">
        <v>892461</v>
      </c>
      <c r="B43" t="s">
        <v>15</v>
      </c>
      <c r="C43" t="s">
        <v>34</v>
      </c>
      <c r="D43">
        <v>30</v>
      </c>
      <c r="E43" t="s">
        <v>64</v>
      </c>
      <c r="F43" s="1">
        <v>42438.162499999999</v>
      </c>
      <c r="G43" t="s">
        <v>76</v>
      </c>
      <c r="H43" t="s">
        <v>47</v>
      </c>
      <c r="I43" t="s">
        <v>138</v>
      </c>
      <c r="J43">
        <v>3</v>
      </c>
      <c r="K43" t="s">
        <v>30</v>
      </c>
      <c r="L43" t="s">
        <v>31</v>
      </c>
      <c r="M43" t="s">
        <v>23</v>
      </c>
      <c r="N43" t="s">
        <v>24</v>
      </c>
      <c r="O43" t="s">
        <v>58</v>
      </c>
    </row>
    <row r="44" spans="1:15" x14ac:dyDescent="0.35">
      <c r="A44">
        <v>2255463</v>
      </c>
      <c r="B44" t="s">
        <v>15</v>
      </c>
      <c r="C44" t="s">
        <v>78</v>
      </c>
      <c r="D44">
        <v>43</v>
      </c>
      <c r="E44" t="s">
        <v>35</v>
      </c>
      <c r="F44" s="1">
        <v>42460.553472222222</v>
      </c>
      <c r="G44" t="s">
        <v>139</v>
      </c>
      <c r="H44" t="s">
        <v>51</v>
      </c>
      <c r="I44" t="s">
        <v>140</v>
      </c>
      <c r="J44">
        <v>13</v>
      </c>
      <c r="K44" t="s">
        <v>63</v>
      </c>
      <c r="L44" t="s">
        <v>31</v>
      </c>
      <c r="M44" t="s">
        <v>23</v>
      </c>
      <c r="N44" t="s">
        <v>93</v>
      </c>
      <c r="O44" t="s">
        <v>44</v>
      </c>
    </row>
    <row r="45" spans="1:15" x14ac:dyDescent="0.35">
      <c r="A45">
        <v>808926</v>
      </c>
      <c r="B45" t="s">
        <v>15</v>
      </c>
      <c r="C45" t="s">
        <v>16</v>
      </c>
      <c r="D45">
        <v>22</v>
      </c>
      <c r="E45" t="s">
        <v>17</v>
      </c>
      <c r="F45" s="1">
        <v>42419.305555555555</v>
      </c>
      <c r="G45" t="s">
        <v>141</v>
      </c>
      <c r="H45" t="s">
        <v>71</v>
      </c>
      <c r="I45" t="s">
        <v>142</v>
      </c>
      <c r="J45">
        <v>7</v>
      </c>
      <c r="K45" t="s">
        <v>42</v>
      </c>
      <c r="L45" t="s">
        <v>50</v>
      </c>
      <c r="M45" t="s">
        <v>23</v>
      </c>
      <c r="N45" t="s">
        <v>69</v>
      </c>
      <c r="O45" t="s">
        <v>33</v>
      </c>
    </row>
    <row r="46" spans="1:15" x14ac:dyDescent="0.35">
      <c r="A46">
        <v>808926</v>
      </c>
      <c r="B46" t="s">
        <v>15</v>
      </c>
      <c r="C46" t="s">
        <v>16</v>
      </c>
      <c r="D46">
        <v>22</v>
      </c>
      <c r="E46" t="s">
        <v>17</v>
      </c>
      <c r="F46" s="1">
        <v>42421.268750000003</v>
      </c>
      <c r="G46" t="s">
        <v>143</v>
      </c>
      <c r="H46" t="s">
        <v>54</v>
      </c>
      <c r="I46" t="s">
        <v>144</v>
      </c>
      <c r="J46">
        <v>6</v>
      </c>
      <c r="K46" t="s">
        <v>56</v>
      </c>
      <c r="L46" t="s">
        <v>50</v>
      </c>
      <c r="M46" t="s">
        <v>57</v>
      </c>
      <c r="N46" t="s">
        <v>69</v>
      </c>
      <c r="O46" t="s">
        <v>33</v>
      </c>
    </row>
    <row r="47" spans="1:15" x14ac:dyDescent="0.35">
      <c r="A47">
        <v>808926</v>
      </c>
      <c r="B47" t="s">
        <v>15</v>
      </c>
      <c r="C47" t="s">
        <v>16</v>
      </c>
      <c r="D47">
        <v>22</v>
      </c>
      <c r="E47" t="s">
        <v>17</v>
      </c>
      <c r="F47" s="1">
        <v>42402.428472222222</v>
      </c>
      <c r="G47" t="s">
        <v>145</v>
      </c>
      <c r="H47" t="s">
        <v>19</v>
      </c>
      <c r="I47" t="s">
        <v>146</v>
      </c>
      <c r="J47">
        <v>10</v>
      </c>
      <c r="K47" t="s">
        <v>49</v>
      </c>
      <c r="L47" t="s">
        <v>50</v>
      </c>
      <c r="M47" t="s">
        <v>23</v>
      </c>
      <c r="N47" t="s">
        <v>69</v>
      </c>
      <c r="O47" t="s">
        <v>33</v>
      </c>
    </row>
    <row r="48" spans="1:15" x14ac:dyDescent="0.35">
      <c r="A48">
        <v>808926</v>
      </c>
      <c r="B48" t="s">
        <v>15</v>
      </c>
      <c r="C48" t="s">
        <v>16</v>
      </c>
      <c r="D48">
        <v>22</v>
      </c>
      <c r="E48" t="s">
        <v>17</v>
      </c>
      <c r="F48" s="1">
        <v>42425.276388888888</v>
      </c>
      <c r="G48" t="s">
        <v>147</v>
      </c>
      <c r="H48" t="s">
        <v>71</v>
      </c>
      <c r="I48" t="s">
        <v>148</v>
      </c>
      <c r="J48">
        <v>6</v>
      </c>
      <c r="K48" t="s">
        <v>63</v>
      </c>
      <c r="L48" t="s">
        <v>50</v>
      </c>
      <c r="M48" t="s">
        <v>23</v>
      </c>
      <c r="N48" t="s">
        <v>69</v>
      </c>
      <c r="O48" t="s">
        <v>33</v>
      </c>
    </row>
    <row r="49" spans="1:15" x14ac:dyDescent="0.35">
      <c r="A49">
        <v>808926</v>
      </c>
      <c r="B49" t="s">
        <v>15</v>
      </c>
      <c r="C49" t="s">
        <v>16</v>
      </c>
      <c r="D49">
        <v>22</v>
      </c>
      <c r="E49" t="s">
        <v>17</v>
      </c>
      <c r="F49" s="1">
        <v>42418.5</v>
      </c>
      <c r="G49" t="s">
        <v>149</v>
      </c>
      <c r="H49" t="s">
        <v>66</v>
      </c>
      <c r="I49" t="s">
        <v>150</v>
      </c>
      <c r="J49">
        <v>12</v>
      </c>
      <c r="K49" t="s">
        <v>63</v>
      </c>
      <c r="L49" t="s">
        <v>50</v>
      </c>
      <c r="M49" t="s">
        <v>23</v>
      </c>
      <c r="N49" t="s">
        <v>69</v>
      </c>
      <c r="O49" t="s">
        <v>44</v>
      </c>
    </row>
    <row r="50" spans="1:15" x14ac:dyDescent="0.35">
      <c r="A50">
        <v>771783</v>
      </c>
      <c r="B50" t="s">
        <v>15</v>
      </c>
      <c r="C50" t="s">
        <v>34</v>
      </c>
      <c r="D50">
        <v>23</v>
      </c>
      <c r="E50" t="s">
        <v>35</v>
      </c>
      <c r="F50" s="1">
        <v>42401.535416666666</v>
      </c>
      <c r="G50" t="s">
        <v>61</v>
      </c>
      <c r="H50" t="s">
        <v>19</v>
      </c>
      <c r="I50" t="s">
        <v>151</v>
      </c>
      <c r="J50">
        <v>12</v>
      </c>
      <c r="K50" t="s">
        <v>21</v>
      </c>
      <c r="L50" t="s">
        <v>50</v>
      </c>
      <c r="M50" t="s">
        <v>23</v>
      </c>
      <c r="N50" t="s">
        <v>69</v>
      </c>
      <c r="O50" t="s">
        <v>44</v>
      </c>
    </row>
    <row r="51" spans="1:15" x14ac:dyDescent="0.35">
      <c r="A51">
        <v>771783</v>
      </c>
      <c r="B51" t="s">
        <v>15</v>
      </c>
      <c r="C51" t="s">
        <v>34</v>
      </c>
      <c r="D51">
        <v>23</v>
      </c>
      <c r="E51" t="s">
        <v>35</v>
      </c>
      <c r="F51" s="1">
        <v>42399.904861111114</v>
      </c>
      <c r="G51" t="s">
        <v>152</v>
      </c>
      <c r="H51" t="s">
        <v>47</v>
      </c>
      <c r="I51" t="s">
        <v>153</v>
      </c>
      <c r="J51">
        <v>21</v>
      </c>
      <c r="K51" t="s">
        <v>68</v>
      </c>
      <c r="L51" t="s">
        <v>22</v>
      </c>
      <c r="M51" t="s">
        <v>57</v>
      </c>
      <c r="N51" t="s">
        <v>69</v>
      </c>
      <c r="O51" t="s">
        <v>25</v>
      </c>
    </row>
    <row r="52" spans="1:15" x14ac:dyDescent="0.35">
      <c r="A52">
        <v>2368357</v>
      </c>
      <c r="B52" t="s">
        <v>15</v>
      </c>
      <c r="C52" t="s">
        <v>78</v>
      </c>
      <c r="D52">
        <v>37</v>
      </c>
      <c r="E52" t="s">
        <v>35</v>
      </c>
      <c r="F52" s="1">
        <v>42431.522222222222</v>
      </c>
      <c r="G52" t="s">
        <v>154</v>
      </c>
      <c r="H52" t="s">
        <v>86</v>
      </c>
      <c r="I52" t="s">
        <v>155</v>
      </c>
      <c r="J52">
        <v>12</v>
      </c>
      <c r="K52" t="s">
        <v>30</v>
      </c>
      <c r="L52" t="s">
        <v>31</v>
      </c>
      <c r="M52" t="s">
        <v>23</v>
      </c>
      <c r="N52" t="s">
        <v>24</v>
      </c>
      <c r="O52" t="s">
        <v>44</v>
      </c>
    </row>
    <row r="53" spans="1:15" x14ac:dyDescent="0.35">
      <c r="A53">
        <v>2368357</v>
      </c>
      <c r="B53" t="s">
        <v>15</v>
      </c>
      <c r="C53" t="s">
        <v>78</v>
      </c>
      <c r="D53">
        <v>37</v>
      </c>
      <c r="E53" t="s">
        <v>35</v>
      </c>
      <c r="F53" s="1">
        <v>42437.448611111111</v>
      </c>
      <c r="G53" t="s">
        <v>156</v>
      </c>
      <c r="H53" t="s">
        <v>71</v>
      </c>
      <c r="I53" t="s">
        <v>157</v>
      </c>
      <c r="J53">
        <v>10</v>
      </c>
      <c r="K53" t="s">
        <v>49</v>
      </c>
      <c r="L53" t="s">
        <v>31</v>
      </c>
      <c r="M53" t="s">
        <v>23</v>
      </c>
      <c r="N53" t="s">
        <v>24</v>
      </c>
      <c r="O53" t="s">
        <v>33</v>
      </c>
    </row>
    <row r="54" spans="1:15" x14ac:dyDescent="0.35">
      <c r="A54">
        <v>2368357</v>
      </c>
      <c r="B54" t="s">
        <v>15</v>
      </c>
      <c r="C54" t="s">
        <v>78</v>
      </c>
      <c r="D54">
        <v>37</v>
      </c>
      <c r="E54" t="s">
        <v>35</v>
      </c>
      <c r="F54" s="1">
        <v>42437.644444444442</v>
      </c>
      <c r="G54" t="s">
        <v>76</v>
      </c>
      <c r="H54" t="s">
        <v>66</v>
      </c>
      <c r="I54" t="s">
        <v>158</v>
      </c>
      <c r="J54">
        <v>15</v>
      </c>
      <c r="K54" t="s">
        <v>49</v>
      </c>
      <c r="L54" t="s">
        <v>31</v>
      </c>
      <c r="M54" t="s">
        <v>23</v>
      </c>
      <c r="N54" t="s">
        <v>24</v>
      </c>
      <c r="O54" t="s">
        <v>44</v>
      </c>
    </row>
    <row r="55" spans="1:15" x14ac:dyDescent="0.35">
      <c r="A55">
        <v>2368357</v>
      </c>
      <c r="B55" t="s">
        <v>15</v>
      </c>
      <c r="C55" t="s">
        <v>78</v>
      </c>
      <c r="D55">
        <v>37</v>
      </c>
      <c r="E55" t="s">
        <v>35</v>
      </c>
      <c r="F55" s="1">
        <v>42437.644444444442</v>
      </c>
      <c r="G55" t="s">
        <v>76</v>
      </c>
      <c r="H55" t="s">
        <v>19</v>
      </c>
      <c r="I55" t="s">
        <v>158</v>
      </c>
      <c r="J55">
        <v>15</v>
      </c>
      <c r="K55" t="s">
        <v>49</v>
      </c>
      <c r="L55" t="s">
        <v>31</v>
      </c>
      <c r="M55" t="s">
        <v>23</v>
      </c>
      <c r="N55" t="s">
        <v>24</v>
      </c>
      <c r="O55" t="s">
        <v>44</v>
      </c>
    </row>
    <row r="56" spans="1:15" x14ac:dyDescent="0.35">
      <c r="A56">
        <v>788616</v>
      </c>
      <c r="B56" t="s">
        <v>38</v>
      </c>
      <c r="C56" t="s">
        <v>78</v>
      </c>
      <c r="D56">
        <v>44</v>
      </c>
      <c r="E56" t="s">
        <v>35</v>
      </c>
      <c r="F56" s="1">
        <v>42396.502083333333</v>
      </c>
      <c r="G56" t="s">
        <v>70</v>
      </c>
      <c r="H56" t="s">
        <v>86</v>
      </c>
      <c r="I56" t="s">
        <v>159</v>
      </c>
      <c r="J56">
        <v>12</v>
      </c>
      <c r="K56" t="s">
        <v>30</v>
      </c>
      <c r="L56" t="s">
        <v>22</v>
      </c>
      <c r="M56" t="s">
        <v>23</v>
      </c>
      <c r="N56" t="s">
        <v>93</v>
      </c>
      <c r="O56" t="s">
        <v>44</v>
      </c>
    </row>
    <row r="57" spans="1:15" x14ac:dyDescent="0.35">
      <c r="A57">
        <v>771785</v>
      </c>
      <c r="B57" t="s">
        <v>15</v>
      </c>
      <c r="C57" t="s">
        <v>78</v>
      </c>
      <c r="D57">
        <v>43</v>
      </c>
      <c r="E57" t="s">
        <v>35</v>
      </c>
      <c r="F57" s="1">
        <v>42428.703472222223</v>
      </c>
      <c r="G57" t="s">
        <v>160</v>
      </c>
      <c r="H57" t="s">
        <v>28</v>
      </c>
      <c r="I57" t="s">
        <v>161</v>
      </c>
      <c r="J57">
        <v>16</v>
      </c>
      <c r="K57" t="s">
        <v>56</v>
      </c>
      <c r="L57" t="s">
        <v>50</v>
      </c>
      <c r="M57" t="s">
        <v>57</v>
      </c>
      <c r="N57" t="s">
        <v>93</v>
      </c>
      <c r="O57" t="s">
        <v>44</v>
      </c>
    </row>
    <row r="58" spans="1:15" x14ac:dyDescent="0.35">
      <c r="A58">
        <v>630977</v>
      </c>
      <c r="B58" t="s">
        <v>15</v>
      </c>
      <c r="C58" t="s">
        <v>16</v>
      </c>
      <c r="D58">
        <v>28</v>
      </c>
      <c r="E58" t="s">
        <v>35</v>
      </c>
      <c r="F58" s="1">
        <v>42385.411111111112</v>
      </c>
      <c r="G58" t="s">
        <v>108</v>
      </c>
      <c r="H58" t="s">
        <v>19</v>
      </c>
      <c r="I58" t="s">
        <v>162</v>
      </c>
      <c r="J58">
        <v>9</v>
      </c>
      <c r="K58" t="s">
        <v>68</v>
      </c>
      <c r="L58" t="s">
        <v>22</v>
      </c>
      <c r="M58" t="s">
        <v>57</v>
      </c>
      <c r="N58" t="s">
        <v>69</v>
      </c>
      <c r="O58" t="s">
        <v>33</v>
      </c>
    </row>
    <row r="59" spans="1:15" x14ac:dyDescent="0.35">
      <c r="A59">
        <v>808928</v>
      </c>
      <c r="B59" t="s">
        <v>15</v>
      </c>
      <c r="C59" t="s">
        <v>78</v>
      </c>
      <c r="D59">
        <v>35</v>
      </c>
      <c r="E59" t="s">
        <v>35</v>
      </c>
      <c r="F59" s="1">
        <v>42413.815972222219</v>
      </c>
      <c r="G59" t="s">
        <v>163</v>
      </c>
      <c r="H59" t="s">
        <v>54</v>
      </c>
      <c r="I59" t="s">
        <v>164</v>
      </c>
      <c r="J59">
        <v>19</v>
      </c>
      <c r="K59" t="s">
        <v>68</v>
      </c>
      <c r="L59" t="s">
        <v>50</v>
      </c>
      <c r="M59" t="s">
        <v>57</v>
      </c>
      <c r="N59" t="s">
        <v>24</v>
      </c>
      <c r="O59" t="s">
        <v>25</v>
      </c>
    </row>
    <row r="60" spans="1:15" x14ac:dyDescent="0.35">
      <c r="A60">
        <v>808928</v>
      </c>
      <c r="B60" t="s">
        <v>15</v>
      </c>
      <c r="C60" t="s">
        <v>78</v>
      </c>
      <c r="D60">
        <v>35</v>
      </c>
      <c r="E60" t="s">
        <v>35</v>
      </c>
      <c r="F60" s="1">
        <v>42430.510416666664</v>
      </c>
      <c r="G60" t="s">
        <v>76</v>
      </c>
      <c r="H60" t="s">
        <v>28</v>
      </c>
      <c r="I60" t="s">
        <v>165</v>
      </c>
      <c r="J60">
        <v>12</v>
      </c>
      <c r="K60" t="s">
        <v>49</v>
      </c>
      <c r="L60" t="s">
        <v>31</v>
      </c>
      <c r="M60" t="s">
        <v>23</v>
      </c>
      <c r="N60" t="s">
        <v>24</v>
      </c>
      <c r="O60" t="s">
        <v>44</v>
      </c>
    </row>
    <row r="61" spans="1:15" x14ac:dyDescent="0.35">
      <c r="A61">
        <v>831694</v>
      </c>
      <c r="B61" t="s">
        <v>15</v>
      </c>
      <c r="C61" t="s">
        <v>26</v>
      </c>
      <c r="D61">
        <v>25</v>
      </c>
      <c r="E61" t="s">
        <v>134</v>
      </c>
      <c r="F61" s="1">
        <v>42430.921527777777</v>
      </c>
      <c r="G61" t="s">
        <v>166</v>
      </c>
      <c r="H61" t="s">
        <v>106</v>
      </c>
      <c r="I61" t="s">
        <v>167</v>
      </c>
      <c r="J61">
        <v>22</v>
      </c>
      <c r="K61" t="s">
        <v>49</v>
      </c>
      <c r="L61" t="s">
        <v>31</v>
      </c>
      <c r="M61" t="s">
        <v>23</v>
      </c>
      <c r="N61" t="s">
        <v>69</v>
      </c>
      <c r="O61" t="s">
        <v>104</v>
      </c>
    </row>
    <row r="62" spans="1:15" x14ac:dyDescent="0.35">
      <c r="A62">
        <v>808929</v>
      </c>
      <c r="B62" t="s">
        <v>38</v>
      </c>
      <c r="C62" t="s">
        <v>78</v>
      </c>
      <c r="D62">
        <v>32</v>
      </c>
      <c r="E62" t="s">
        <v>45</v>
      </c>
      <c r="F62" s="1">
        <v>42380.762499999997</v>
      </c>
      <c r="G62" t="s">
        <v>168</v>
      </c>
      <c r="H62" t="s">
        <v>106</v>
      </c>
      <c r="I62" t="s">
        <v>169</v>
      </c>
      <c r="J62">
        <v>18</v>
      </c>
      <c r="K62" t="s">
        <v>21</v>
      </c>
      <c r="L62" t="s">
        <v>22</v>
      </c>
      <c r="M62" t="s">
        <v>23</v>
      </c>
      <c r="N62" t="s">
        <v>24</v>
      </c>
      <c r="O62" t="s">
        <v>25</v>
      </c>
    </row>
    <row r="63" spans="1:15" x14ac:dyDescent="0.35">
      <c r="A63">
        <v>808929</v>
      </c>
      <c r="B63" t="s">
        <v>38</v>
      </c>
      <c r="C63" t="s">
        <v>78</v>
      </c>
      <c r="D63">
        <v>32</v>
      </c>
      <c r="E63" t="s">
        <v>45</v>
      </c>
      <c r="F63" s="1">
        <v>42393.774305555555</v>
      </c>
      <c r="G63" t="s">
        <v>170</v>
      </c>
      <c r="H63" t="s">
        <v>66</v>
      </c>
      <c r="I63" t="s">
        <v>171</v>
      </c>
      <c r="J63">
        <v>18</v>
      </c>
      <c r="K63" t="s">
        <v>56</v>
      </c>
      <c r="L63" t="s">
        <v>22</v>
      </c>
      <c r="M63" t="s">
        <v>57</v>
      </c>
      <c r="N63" t="s">
        <v>24</v>
      </c>
      <c r="O63" t="s">
        <v>25</v>
      </c>
    </row>
    <row r="64" spans="1:15" x14ac:dyDescent="0.35">
      <c r="A64">
        <v>892465</v>
      </c>
      <c r="B64" t="s">
        <v>15</v>
      </c>
      <c r="C64" t="s">
        <v>78</v>
      </c>
      <c r="D64">
        <v>36</v>
      </c>
      <c r="E64" t="s">
        <v>35</v>
      </c>
      <c r="F64" s="1">
        <v>42442.777083333334</v>
      </c>
      <c r="G64" t="s">
        <v>172</v>
      </c>
      <c r="H64" t="s">
        <v>66</v>
      </c>
      <c r="I64" t="s">
        <v>173</v>
      </c>
      <c r="J64">
        <v>18</v>
      </c>
      <c r="K64" t="s">
        <v>56</v>
      </c>
      <c r="L64" t="s">
        <v>31</v>
      </c>
      <c r="M64" t="s">
        <v>57</v>
      </c>
      <c r="N64" t="s">
        <v>24</v>
      </c>
      <c r="O64" t="s">
        <v>25</v>
      </c>
    </row>
    <row r="65" spans="1:15" x14ac:dyDescent="0.35">
      <c r="A65">
        <v>892465</v>
      </c>
      <c r="B65" t="s">
        <v>15</v>
      </c>
      <c r="C65" t="s">
        <v>78</v>
      </c>
      <c r="D65">
        <v>36</v>
      </c>
      <c r="E65" t="s">
        <v>35</v>
      </c>
      <c r="F65" s="1">
        <v>42443.443055555559</v>
      </c>
      <c r="G65" t="s">
        <v>174</v>
      </c>
      <c r="H65" t="s">
        <v>54</v>
      </c>
      <c r="I65" t="s">
        <v>175</v>
      </c>
      <c r="J65">
        <v>10</v>
      </c>
      <c r="K65" t="s">
        <v>21</v>
      </c>
      <c r="L65" t="s">
        <v>31</v>
      </c>
      <c r="M65" t="s">
        <v>23</v>
      </c>
      <c r="N65" t="s">
        <v>24</v>
      </c>
      <c r="O65" t="s">
        <v>33</v>
      </c>
    </row>
    <row r="66" spans="1:15" x14ac:dyDescent="0.35">
      <c r="A66">
        <v>892465</v>
      </c>
      <c r="B66" t="s">
        <v>15</v>
      </c>
      <c r="C66" t="s">
        <v>78</v>
      </c>
      <c r="D66">
        <v>36</v>
      </c>
      <c r="E66" t="s">
        <v>35</v>
      </c>
      <c r="F66" s="1">
        <v>42447.586111111108</v>
      </c>
      <c r="G66" t="s">
        <v>176</v>
      </c>
      <c r="H66" t="s">
        <v>116</v>
      </c>
      <c r="I66" t="s">
        <v>177</v>
      </c>
      <c r="J66">
        <v>14</v>
      </c>
      <c r="K66" t="s">
        <v>42</v>
      </c>
      <c r="L66" t="s">
        <v>31</v>
      </c>
      <c r="M66" t="s">
        <v>23</v>
      </c>
      <c r="N66" t="s">
        <v>24</v>
      </c>
      <c r="O66" t="s">
        <v>44</v>
      </c>
    </row>
    <row r="67" spans="1:15" x14ac:dyDescent="0.35">
      <c r="A67">
        <v>892465</v>
      </c>
      <c r="B67" t="s">
        <v>15</v>
      </c>
      <c r="C67" t="s">
        <v>78</v>
      </c>
      <c r="D67">
        <v>36</v>
      </c>
      <c r="E67" t="s">
        <v>35</v>
      </c>
      <c r="F67" s="1">
        <v>42448.307638888888</v>
      </c>
      <c r="G67" t="s">
        <v>178</v>
      </c>
      <c r="H67" t="s">
        <v>179</v>
      </c>
      <c r="I67" t="s">
        <v>180</v>
      </c>
      <c r="J67">
        <v>7</v>
      </c>
      <c r="K67" t="s">
        <v>68</v>
      </c>
      <c r="L67" t="s">
        <v>31</v>
      </c>
      <c r="M67" t="s">
        <v>57</v>
      </c>
      <c r="N67" t="s">
        <v>24</v>
      </c>
      <c r="O67" t="s">
        <v>33</v>
      </c>
    </row>
    <row r="68" spans="1:15" x14ac:dyDescent="0.35">
      <c r="A68">
        <v>892465</v>
      </c>
      <c r="B68" t="s">
        <v>15</v>
      </c>
      <c r="C68" t="s">
        <v>78</v>
      </c>
      <c r="D68">
        <v>36</v>
      </c>
      <c r="E68" t="s">
        <v>35</v>
      </c>
      <c r="F68" s="1">
        <v>42460.447916666664</v>
      </c>
      <c r="G68" t="s">
        <v>181</v>
      </c>
      <c r="H68" t="s">
        <v>106</v>
      </c>
      <c r="I68" t="s">
        <v>182</v>
      </c>
      <c r="J68">
        <v>10</v>
      </c>
      <c r="K68" t="s">
        <v>63</v>
      </c>
      <c r="L68" t="s">
        <v>31</v>
      </c>
      <c r="M68" t="s">
        <v>23</v>
      </c>
      <c r="N68" t="s">
        <v>24</v>
      </c>
      <c r="O68" t="s">
        <v>33</v>
      </c>
    </row>
    <row r="69" spans="1:15" x14ac:dyDescent="0.35">
      <c r="A69">
        <v>892465</v>
      </c>
      <c r="B69" t="s">
        <v>15</v>
      </c>
      <c r="C69" t="s">
        <v>78</v>
      </c>
      <c r="D69">
        <v>36</v>
      </c>
      <c r="E69" t="s">
        <v>35</v>
      </c>
      <c r="F69" s="1">
        <v>42459.592361111114</v>
      </c>
      <c r="G69" t="s">
        <v>96</v>
      </c>
      <c r="H69" t="s">
        <v>106</v>
      </c>
      <c r="I69" t="s">
        <v>183</v>
      </c>
      <c r="J69">
        <v>14</v>
      </c>
      <c r="K69" t="s">
        <v>30</v>
      </c>
      <c r="L69" t="s">
        <v>31</v>
      </c>
      <c r="M69" t="s">
        <v>23</v>
      </c>
      <c r="N69" t="s">
        <v>24</v>
      </c>
      <c r="O69" t="s">
        <v>44</v>
      </c>
    </row>
    <row r="70" spans="1:15" x14ac:dyDescent="0.35">
      <c r="A70">
        <v>820335</v>
      </c>
      <c r="B70" t="s">
        <v>15</v>
      </c>
      <c r="C70" t="s">
        <v>34</v>
      </c>
      <c r="D70">
        <v>17</v>
      </c>
      <c r="E70" t="s">
        <v>35</v>
      </c>
      <c r="F70" s="1">
        <v>42437.388194444444</v>
      </c>
      <c r="G70" t="s">
        <v>184</v>
      </c>
      <c r="H70" t="s">
        <v>28</v>
      </c>
      <c r="I70" t="s">
        <v>185</v>
      </c>
      <c r="J70">
        <v>9</v>
      </c>
      <c r="K70" t="s">
        <v>49</v>
      </c>
      <c r="L70" t="s">
        <v>31</v>
      </c>
      <c r="M70" t="s">
        <v>23</v>
      </c>
      <c r="N70" t="s">
        <v>32</v>
      </c>
      <c r="O70" t="s">
        <v>33</v>
      </c>
    </row>
    <row r="71" spans="1:15" x14ac:dyDescent="0.35">
      <c r="A71">
        <v>820335</v>
      </c>
      <c r="B71" t="s">
        <v>15</v>
      </c>
      <c r="C71" t="s">
        <v>34</v>
      </c>
      <c r="D71">
        <v>17</v>
      </c>
      <c r="E71" t="s">
        <v>35</v>
      </c>
      <c r="F71" s="1">
        <v>42448.215277777781</v>
      </c>
      <c r="G71" t="s">
        <v>70</v>
      </c>
      <c r="H71" t="s">
        <v>66</v>
      </c>
      <c r="I71" t="s">
        <v>186</v>
      </c>
      <c r="J71">
        <v>5</v>
      </c>
      <c r="K71" t="s">
        <v>68</v>
      </c>
      <c r="L71" t="s">
        <v>31</v>
      </c>
      <c r="M71" t="s">
        <v>57</v>
      </c>
      <c r="N71" t="s">
        <v>32</v>
      </c>
      <c r="O71" t="s">
        <v>33</v>
      </c>
    </row>
    <row r="72" spans="1:15" x14ac:dyDescent="0.35">
      <c r="A72">
        <v>820335</v>
      </c>
      <c r="B72" t="s">
        <v>15</v>
      </c>
      <c r="C72" t="s">
        <v>34</v>
      </c>
      <c r="D72">
        <v>17</v>
      </c>
      <c r="E72" t="s">
        <v>35</v>
      </c>
      <c r="F72" s="1">
        <v>42441.401388888888</v>
      </c>
      <c r="G72" t="s">
        <v>187</v>
      </c>
      <c r="H72" t="s">
        <v>28</v>
      </c>
      <c r="I72" t="s">
        <v>188</v>
      </c>
      <c r="J72">
        <v>9</v>
      </c>
      <c r="K72" t="s">
        <v>68</v>
      </c>
      <c r="L72" t="s">
        <v>31</v>
      </c>
      <c r="M72" t="s">
        <v>57</v>
      </c>
      <c r="N72" t="s">
        <v>32</v>
      </c>
      <c r="O72" t="s">
        <v>33</v>
      </c>
    </row>
    <row r="73" spans="1:15" x14ac:dyDescent="0.35">
      <c r="A73">
        <v>820335</v>
      </c>
      <c r="B73" t="s">
        <v>15</v>
      </c>
      <c r="C73" t="s">
        <v>34</v>
      </c>
      <c r="D73">
        <v>17</v>
      </c>
      <c r="E73" t="s">
        <v>35</v>
      </c>
      <c r="F73" s="1">
        <v>42441.408333333333</v>
      </c>
      <c r="G73" t="s">
        <v>189</v>
      </c>
      <c r="H73" t="s">
        <v>28</v>
      </c>
      <c r="I73" t="s">
        <v>190</v>
      </c>
      <c r="J73">
        <v>9</v>
      </c>
      <c r="K73" t="s">
        <v>68</v>
      </c>
      <c r="L73" t="s">
        <v>31</v>
      </c>
      <c r="M73" t="s">
        <v>57</v>
      </c>
      <c r="N73" t="s">
        <v>32</v>
      </c>
      <c r="O73" t="s">
        <v>33</v>
      </c>
    </row>
    <row r="74" spans="1:15" x14ac:dyDescent="0.35">
      <c r="A74">
        <v>820335</v>
      </c>
      <c r="B74" t="s">
        <v>15</v>
      </c>
      <c r="C74" t="s">
        <v>34</v>
      </c>
      <c r="D74">
        <v>17</v>
      </c>
      <c r="E74" t="s">
        <v>35</v>
      </c>
      <c r="F74" s="1">
        <v>42438.551388888889</v>
      </c>
      <c r="G74" t="s">
        <v>191</v>
      </c>
      <c r="H74" t="s">
        <v>28</v>
      </c>
      <c r="I74" t="s">
        <v>192</v>
      </c>
      <c r="J74">
        <v>13</v>
      </c>
      <c r="K74" t="s">
        <v>30</v>
      </c>
      <c r="L74" t="s">
        <v>31</v>
      </c>
      <c r="M74" t="s">
        <v>23</v>
      </c>
      <c r="N74" t="s">
        <v>32</v>
      </c>
      <c r="O74" t="s">
        <v>44</v>
      </c>
    </row>
    <row r="75" spans="1:15" x14ac:dyDescent="0.35">
      <c r="A75">
        <v>820335</v>
      </c>
      <c r="B75" t="s">
        <v>15</v>
      </c>
      <c r="C75" t="s">
        <v>34</v>
      </c>
      <c r="D75">
        <v>17</v>
      </c>
      <c r="E75" t="s">
        <v>35</v>
      </c>
      <c r="F75" s="1">
        <v>42455.530555555553</v>
      </c>
      <c r="G75" t="s">
        <v>193</v>
      </c>
      <c r="H75" t="s">
        <v>28</v>
      </c>
      <c r="I75" t="s">
        <v>194</v>
      </c>
      <c r="J75">
        <v>12</v>
      </c>
      <c r="K75" t="s">
        <v>68</v>
      </c>
      <c r="L75" t="s">
        <v>31</v>
      </c>
      <c r="M75" t="s">
        <v>57</v>
      </c>
      <c r="N75" t="s">
        <v>32</v>
      </c>
      <c r="O75" t="s">
        <v>44</v>
      </c>
    </row>
    <row r="76" spans="1:15" x14ac:dyDescent="0.35">
      <c r="A76">
        <v>830836</v>
      </c>
      <c r="B76" t="s">
        <v>15</v>
      </c>
      <c r="C76" t="s">
        <v>26</v>
      </c>
      <c r="D76">
        <v>21</v>
      </c>
      <c r="E76" t="s">
        <v>195</v>
      </c>
      <c r="F76" s="1">
        <v>42431.463194444441</v>
      </c>
      <c r="G76" t="s">
        <v>196</v>
      </c>
      <c r="H76" t="s">
        <v>51</v>
      </c>
      <c r="I76" t="s">
        <v>197</v>
      </c>
      <c r="J76">
        <v>11</v>
      </c>
      <c r="K76" t="s">
        <v>30</v>
      </c>
      <c r="L76" t="s">
        <v>31</v>
      </c>
      <c r="M76" t="s">
        <v>23</v>
      </c>
      <c r="N76" t="s">
        <v>69</v>
      </c>
      <c r="O76" t="s">
        <v>44</v>
      </c>
    </row>
    <row r="77" spans="1:15" x14ac:dyDescent="0.35">
      <c r="A77">
        <v>770963</v>
      </c>
      <c r="B77" t="s">
        <v>26</v>
      </c>
      <c r="C77" t="s">
        <v>26</v>
      </c>
      <c r="D77">
        <v>0</v>
      </c>
      <c r="E77" t="s">
        <v>26</v>
      </c>
      <c r="F77" s="1">
        <v>42453.40625</v>
      </c>
      <c r="G77" t="s">
        <v>198</v>
      </c>
      <c r="H77" t="s">
        <v>71</v>
      </c>
      <c r="I77" t="s">
        <v>199</v>
      </c>
      <c r="J77">
        <v>9</v>
      </c>
      <c r="K77" t="s">
        <v>63</v>
      </c>
      <c r="L77" t="s">
        <v>31</v>
      </c>
      <c r="M77" t="s">
        <v>23</v>
      </c>
      <c r="N77" t="s">
        <v>32</v>
      </c>
      <c r="O77" t="s">
        <v>33</v>
      </c>
    </row>
    <row r="78" spans="1:15" x14ac:dyDescent="0.35">
      <c r="A78">
        <v>770963</v>
      </c>
      <c r="B78" t="s">
        <v>26</v>
      </c>
      <c r="C78" t="s">
        <v>26</v>
      </c>
      <c r="D78">
        <v>0</v>
      </c>
      <c r="E78" t="s">
        <v>26</v>
      </c>
      <c r="F78" s="1">
        <v>42425.394444444442</v>
      </c>
      <c r="G78" t="s">
        <v>200</v>
      </c>
      <c r="H78" t="s">
        <v>28</v>
      </c>
      <c r="I78" t="s">
        <v>201</v>
      </c>
      <c r="J78">
        <v>9</v>
      </c>
      <c r="K78" t="s">
        <v>63</v>
      </c>
      <c r="L78" t="s">
        <v>50</v>
      </c>
      <c r="M78" t="s">
        <v>23</v>
      </c>
      <c r="N78" t="s">
        <v>32</v>
      </c>
      <c r="O78" t="s">
        <v>33</v>
      </c>
    </row>
    <row r="79" spans="1:15" x14ac:dyDescent="0.35">
      <c r="A79">
        <v>904035</v>
      </c>
      <c r="B79" t="s">
        <v>15</v>
      </c>
      <c r="C79" t="s">
        <v>78</v>
      </c>
      <c r="D79">
        <v>23</v>
      </c>
      <c r="E79" t="s">
        <v>35</v>
      </c>
      <c r="F79" s="1">
        <v>42458.81527777778</v>
      </c>
      <c r="G79" t="s">
        <v>202</v>
      </c>
      <c r="H79" t="s">
        <v>91</v>
      </c>
      <c r="I79" t="s">
        <v>203</v>
      </c>
      <c r="J79">
        <v>19</v>
      </c>
      <c r="K79" t="s">
        <v>49</v>
      </c>
      <c r="L79" t="s">
        <v>31</v>
      </c>
      <c r="M79" t="s">
        <v>23</v>
      </c>
      <c r="N79" t="s">
        <v>69</v>
      </c>
      <c r="O79" t="s">
        <v>25</v>
      </c>
    </row>
    <row r="80" spans="1:15" x14ac:dyDescent="0.35">
      <c r="A80">
        <v>868888</v>
      </c>
      <c r="B80" t="s">
        <v>15</v>
      </c>
      <c r="C80" t="s">
        <v>34</v>
      </c>
      <c r="D80">
        <v>21</v>
      </c>
      <c r="E80" t="s">
        <v>35</v>
      </c>
      <c r="F80" s="1">
        <v>42459.496527777781</v>
      </c>
      <c r="G80" t="s">
        <v>204</v>
      </c>
      <c r="H80" t="s">
        <v>28</v>
      </c>
      <c r="I80" t="s">
        <v>205</v>
      </c>
      <c r="J80">
        <v>11</v>
      </c>
      <c r="K80" t="s">
        <v>30</v>
      </c>
      <c r="L80" t="s">
        <v>31</v>
      </c>
      <c r="M80" t="s">
        <v>23</v>
      </c>
      <c r="N80" t="s">
        <v>69</v>
      </c>
      <c r="O80" t="s">
        <v>44</v>
      </c>
    </row>
    <row r="81" spans="1:15" x14ac:dyDescent="0.35">
      <c r="A81">
        <v>808930</v>
      </c>
      <c r="B81" t="s">
        <v>15</v>
      </c>
      <c r="C81" t="s">
        <v>34</v>
      </c>
      <c r="D81">
        <v>35</v>
      </c>
      <c r="E81" t="s">
        <v>134</v>
      </c>
      <c r="F81" s="1">
        <v>42422.353472222225</v>
      </c>
      <c r="G81" t="s">
        <v>206</v>
      </c>
      <c r="H81" t="s">
        <v>71</v>
      </c>
      <c r="I81" t="s">
        <v>207</v>
      </c>
      <c r="J81">
        <v>8</v>
      </c>
      <c r="K81" t="s">
        <v>21</v>
      </c>
      <c r="L81" t="s">
        <v>50</v>
      </c>
      <c r="M81" t="s">
        <v>23</v>
      </c>
      <c r="N81" t="s">
        <v>24</v>
      </c>
      <c r="O81" t="s">
        <v>33</v>
      </c>
    </row>
    <row r="82" spans="1:15" x14ac:dyDescent="0.35">
      <c r="A82">
        <v>808930</v>
      </c>
      <c r="B82" t="s">
        <v>15</v>
      </c>
      <c r="C82" t="s">
        <v>34</v>
      </c>
      <c r="D82">
        <v>35</v>
      </c>
      <c r="E82" t="s">
        <v>134</v>
      </c>
      <c r="F82" s="1">
        <v>42431.401388888888</v>
      </c>
      <c r="G82" t="s">
        <v>208</v>
      </c>
      <c r="H82" t="s">
        <v>28</v>
      </c>
      <c r="I82" t="s">
        <v>209</v>
      </c>
      <c r="J82">
        <v>9</v>
      </c>
      <c r="K82" t="s">
        <v>30</v>
      </c>
      <c r="L82" t="s">
        <v>31</v>
      </c>
      <c r="M82" t="s">
        <v>23</v>
      </c>
      <c r="N82" t="s">
        <v>24</v>
      </c>
      <c r="O82" t="s">
        <v>33</v>
      </c>
    </row>
    <row r="83" spans="1:15" x14ac:dyDescent="0.35">
      <c r="A83">
        <v>808930</v>
      </c>
      <c r="B83" t="s">
        <v>15</v>
      </c>
      <c r="C83" t="s">
        <v>34</v>
      </c>
      <c r="D83">
        <v>35</v>
      </c>
      <c r="E83" t="s">
        <v>134</v>
      </c>
      <c r="F83" s="1">
        <v>42440.361111111109</v>
      </c>
      <c r="G83" t="s">
        <v>76</v>
      </c>
      <c r="H83" t="s">
        <v>28</v>
      </c>
      <c r="I83" t="s">
        <v>210</v>
      </c>
      <c r="J83">
        <v>8</v>
      </c>
      <c r="K83" t="s">
        <v>42</v>
      </c>
      <c r="L83" t="s">
        <v>31</v>
      </c>
      <c r="M83" t="s">
        <v>23</v>
      </c>
      <c r="N83" t="s">
        <v>24</v>
      </c>
      <c r="O83" t="s">
        <v>33</v>
      </c>
    </row>
    <row r="84" spans="1:15" x14ac:dyDescent="0.35">
      <c r="A84">
        <v>808930</v>
      </c>
      <c r="B84" t="s">
        <v>15</v>
      </c>
      <c r="C84" t="s">
        <v>34</v>
      </c>
      <c r="D84">
        <v>35</v>
      </c>
      <c r="E84" t="s">
        <v>134</v>
      </c>
      <c r="F84" s="1">
        <v>42424.474305555559</v>
      </c>
      <c r="G84" t="s">
        <v>211</v>
      </c>
      <c r="H84" t="s">
        <v>28</v>
      </c>
      <c r="I84" t="s">
        <v>212</v>
      </c>
      <c r="J84">
        <v>11</v>
      </c>
      <c r="K84" t="s">
        <v>30</v>
      </c>
      <c r="L84" t="s">
        <v>50</v>
      </c>
      <c r="M84" t="s">
        <v>23</v>
      </c>
      <c r="N84" t="s">
        <v>24</v>
      </c>
      <c r="O84" t="s">
        <v>44</v>
      </c>
    </row>
    <row r="85" spans="1:15" x14ac:dyDescent="0.35">
      <c r="A85">
        <v>808930</v>
      </c>
      <c r="B85" t="s">
        <v>15</v>
      </c>
      <c r="C85" t="s">
        <v>34</v>
      </c>
      <c r="D85">
        <v>35</v>
      </c>
      <c r="E85" t="s">
        <v>134</v>
      </c>
      <c r="F85" s="1">
        <v>42424.356249999997</v>
      </c>
      <c r="G85" t="s">
        <v>213</v>
      </c>
      <c r="H85" t="s">
        <v>28</v>
      </c>
      <c r="I85" t="s">
        <v>214</v>
      </c>
      <c r="J85">
        <v>8</v>
      </c>
      <c r="K85" t="s">
        <v>30</v>
      </c>
      <c r="L85" t="s">
        <v>50</v>
      </c>
      <c r="M85" t="s">
        <v>23</v>
      </c>
      <c r="N85" t="s">
        <v>24</v>
      </c>
      <c r="O85" t="s">
        <v>33</v>
      </c>
    </row>
    <row r="86" spans="1:15" x14ac:dyDescent="0.35">
      <c r="A86">
        <v>808930</v>
      </c>
      <c r="B86" t="s">
        <v>15</v>
      </c>
      <c r="C86" t="s">
        <v>34</v>
      </c>
      <c r="D86">
        <v>35</v>
      </c>
      <c r="E86" t="s">
        <v>134</v>
      </c>
      <c r="F86" s="1">
        <v>42427.71597222222</v>
      </c>
      <c r="G86" t="s">
        <v>215</v>
      </c>
      <c r="H86" t="s">
        <v>71</v>
      </c>
      <c r="I86" t="s">
        <v>216</v>
      </c>
      <c r="J86">
        <v>17</v>
      </c>
      <c r="K86" t="s">
        <v>68</v>
      </c>
      <c r="L86" t="s">
        <v>50</v>
      </c>
      <c r="M86" t="s">
        <v>57</v>
      </c>
      <c r="N86" t="s">
        <v>24</v>
      </c>
      <c r="O86" t="s">
        <v>25</v>
      </c>
    </row>
    <row r="87" spans="1:15" x14ac:dyDescent="0.35">
      <c r="A87">
        <v>808930</v>
      </c>
      <c r="B87" t="s">
        <v>15</v>
      </c>
      <c r="C87" t="s">
        <v>34</v>
      </c>
      <c r="D87">
        <v>35</v>
      </c>
      <c r="E87" t="s">
        <v>134</v>
      </c>
      <c r="F87" s="1">
        <v>42423.643055555556</v>
      </c>
      <c r="G87" t="s">
        <v>181</v>
      </c>
      <c r="H87" t="s">
        <v>28</v>
      </c>
      <c r="I87" t="s">
        <v>217</v>
      </c>
      <c r="J87">
        <v>15</v>
      </c>
      <c r="K87" t="s">
        <v>49</v>
      </c>
      <c r="L87" t="s">
        <v>50</v>
      </c>
      <c r="M87" t="s">
        <v>23</v>
      </c>
      <c r="N87" t="s">
        <v>24</v>
      </c>
      <c r="O87" t="s">
        <v>44</v>
      </c>
    </row>
    <row r="88" spans="1:15" x14ac:dyDescent="0.35">
      <c r="A88">
        <v>808930</v>
      </c>
      <c r="B88" t="s">
        <v>15</v>
      </c>
      <c r="C88" t="s">
        <v>34</v>
      </c>
      <c r="D88">
        <v>35</v>
      </c>
      <c r="E88" t="s">
        <v>134</v>
      </c>
      <c r="F88" s="1">
        <v>42459.513194444444</v>
      </c>
      <c r="G88" t="s">
        <v>218</v>
      </c>
      <c r="H88" t="s">
        <v>28</v>
      </c>
      <c r="I88" t="s">
        <v>219</v>
      </c>
      <c r="J88">
        <v>12</v>
      </c>
      <c r="K88" t="s">
        <v>30</v>
      </c>
      <c r="L88" t="s">
        <v>31</v>
      </c>
      <c r="M88" t="s">
        <v>23</v>
      </c>
      <c r="N88" t="s">
        <v>24</v>
      </c>
      <c r="O88" t="s">
        <v>44</v>
      </c>
    </row>
    <row r="89" spans="1:15" x14ac:dyDescent="0.35">
      <c r="A89">
        <v>879414</v>
      </c>
      <c r="B89" t="s">
        <v>15</v>
      </c>
      <c r="C89" t="s">
        <v>16</v>
      </c>
      <c r="D89">
        <v>30</v>
      </c>
      <c r="E89" t="s">
        <v>17</v>
      </c>
      <c r="F89" s="1">
        <v>42460.888194444444</v>
      </c>
      <c r="G89" t="s">
        <v>220</v>
      </c>
      <c r="H89" t="s">
        <v>116</v>
      </c>
      <c r="I89" t="s">
        <v>221</v>
      </c>
      <c r="J89">
        <v>21</v>
      </c>
      <c r="K89" t="s">
        <v>63</v>
      </c>
      <c r="L89" t="s">
        <v>31</v>
      </c>
      <c r="M89" t="s">
        <v>23</v>
      </c>
      <c r="N89" t="s">
        <v>24</v>
      </c>
      <c r="O89" t="s">
        <v>25</v>
      </c>
    </row>
    <row r="90" spans="1:15" x14ac:dyDescent="0.35">
      <c r="A90">
        <v>771791</v>
      </c>
      <c r="B90" t="s">
        <v>15</v>
      </c>
      <c r="C90" t="s">
        <v>78</v>
      </c>
      <c r="D90">
        <v>34</v>
      </c>
      <c r="E90" t="s">
        <v>35</v>
      </c>
      <c r="F90" s="1">
        <v>42443.493750000001</v>
      </c>
      <c r="G90" t="s">
        <v>222</v>
      </c>
      <c r="H90" t="s">
        <v>54</v>
      </c>
      <c r="I90" t="s">
        <v>223</v>
      </c>
      <c r="J90">
        <v>11</v>
      </c>
      <c r="K90" t="s">
        <v>21</v>
      </c>
      <c r="L90" t="s">
        <v>31</v>
      </c>
      <c r="M90" t="s">
        <v>23</v>
      </c>
      <c r="N90" t="s">
        <v>24</v>
      </c>
      <c r="O90" t="s">
        <v>44</v>
      </c>
    </row>
    <row r="91" spans="1:15" x14ac:dyDescent="0.35">
      <c r="A91">
        <v>771791</v>
      </c>
      <c r="B91" t="s">
        <v>15</v>
      </c>
      <c r="C91" t="s">
        <v>78</v>
      </c>
      <c r="D91">
        <v>34</v>
      </c>
      <c r="E91" t="s">
        <v>35</v>
      </c>
      <c r="F91" s="1">
        <v>42435.209722222222</v>
      </c>
      <c r="G91" t="s">
        <v>224</v>
      </c>
      <c r="H91" t="s">
        <v>225</v>
      </c>
      <c r="I91" t="s">
        <v>226</v>
      </c>
      <c r="J91">
        <v>5</v>
      </c>
      <c r="K91" t="s">
        <v>56</v>
      </c>
      <c r="L91" t="s">
        <v>31</v>
      </c>
      <c r="M91" t="s">
        <v>57</v>
      </c>
      <c r="N91" t="s">
        <v>24</v>
      </c>
      <c r="O91" t="s">
        <v>33</v>
      </c>
    </row>
    <row r="92" spans="1:15" x14ac:dyDescent="0.35">
      <c r="A92">
        <v>819259</v>
      </c>
      <c r="B92" t="s">
        <v>38</v>
      </c>
      <c r="C92" t="s">
        <v>39</v>
      </c>
      <c r="D92">
        <v>10</v>
      </c>
      <c r="E92" t="s">
        <v>17</v>
      </c>
      <c r="F92" s="1">
        <v>42426.661805555559</v>
      </c>
      <c r="G92" t="s">
        <v>227</v>
      </c>
      <c r="H92" t="s">
        <v>71</v>
      </c>
      <c r="I92" t="s">
        <v>228</v>
      </c>
      <c r="J92">
        <v>15</v>
      </c>
      <c r="K92" t="s">
        <v>42</v>
      </c>
      <c r="L92" t="s">
        <v>50</v>
      </c>
      <c r="M92" t="s">
        <v>23</v>
      </c>
      <c r="N92" t="s">
        <v>32</v>
      </c>
      <c r="O92" t="s">
        <v>44</v>
      </c>
    </row>
    <row r="93" spans="1:15" x14ac:dyDescent="0.35">
      <c r="A93">
        <v>2285528</v>
      </c>
      <c r="B93" t="s">
        <v>15</v>
      </c>
      <c r="C93" t="s">
        <v>26</v>
      </c>
      <c r="D93">
        <v>26</v>
      </c>
      <c r="E93" t="s">
        <v>17</v>
      </c>
      <c r="F93" s="1">
        <v>42444.430555555555</v>
      </c>
      <c r="G93" t="s">
        <v>229</v>
      </c>
      <c r="H93" t="s">
        <v>28</v>
      </c>
      <c r="I93" t="s">
        <v>230</v>
      </c>
      <c r="J93">
        <v>10</v>
      </c>
      <c r="K93" t="s">
        <v>49</v>
      </c>
      <c r="L93" t="s">
        <v>31</v>
      </c>
      <c r="M93" t="s">
        <v>23</v>
      </c>
      <c r="N93" t="s">
        <v>69</v>
      </c>
      <c r="O93" t="s">
        <v>33</v>
      </c>
    </row>
    <row r="94" spans="1:15" x14ac:dyDescent="0.35">
      <c r="A94">
        <v>868892</v>
      </c>
      <c r="B94" t="s">
        <v>15</v>
      </c>
      <c r="C94" t="s">
        <v>78</v>
      </c>
      <c r="D94">
        <v>20</v>
      </c>
      <c r="E94" t="s">
        <v>35</v>
      </c>
      <c r="F94" s="1">
        <v>42441.615972222222</v>
      </c>
      <c r="G94" t="s">
        <v>231</v>
      </c>
      <c r="H94" t="s">
        <v>19</v>
      </c>
      <c r="I94" t="s">
        <v>232</v>
      </c>
      <c r="J94">
        <v>14</v>
      </c>
      <c r="K94" t="s">
        <v>68</v>
      </c>
      <c r="L94" t="s">
        <v>31</v>
      </c>
      <c r="M94" t="s">
        <v>57</v>
      </c>
      <c r="N94" t="s">
        <v>69</v>
      </c>
      <c r="O94" t="s">
        <v>44</v>
      </c>
    </row>
    <row r="95" spans="1:15" x14ac:dyDescent="0.35">
      <c r="A95">
        <v>808971</v>
      </c>
      <c r="B95" t="s">
        <v>15</v>
      </c>
      <c r="C95" t="s">
        <v>78</v>
      </c>
      <c r="D95">
        <v>36</v>
      </c>
      <c r="E95" t="s">
        <v>35</v>
      </c>
      <c r="F95" s="1">
        <v>42408.447916666664</v>
      </c>
      <c r="G95" t="s">
        <v>233</v>
      </c>
      <c r="H95" t="s">
        <v>51</v>
      </c>
      <c r="I95" t="s">
        <v>234</v>
      </c>
      <c r="J95">
        <v>10</v>
      </c>
      <c r="K95" t="s">
        <v>21</v>
      </c>
      <c r="L95" t="s">
        <v>50</v>
      </c>
      <c r="M95" t="s">
        <v>23</v>
      </c>
      <c r="N95" t="s">
        <v>24</v>
      </c>
      <c r="O95" t="s">
        <v>33</v>
      </c>
    </row>
    <row r="96" spans="1:15" x14ac:dyDescent="0.35">
      <c r="A96">
        <v>868892</v>
      </c>
      <c r="B96" t="s">
        <v>15</v>
      </c>
      <c r="C96" t="s">
        <v>78</v>
      </c>
      <c r="D96">
        <v>20</v>
      </c>
      <c r="E96" t="s">
        <v>35</v>
      </c>
      <c r="F96" s="1">
        <v>42439.451388888891</v>
      </c>
      <c r="G96" t="s">
        <v>90</v>
      </c>
      <c r="H96" t="s">
        <v>54</v>
      </c>
      <c r="I96" t="s">
        <v>235</v>
      </c>
      <c r="J96">
        <v>10</v>
      </c>
      <c r="K96" t="s">
        <v>63</v>
      </c>
      <c r="L96" t="s">
        <v>31</v>
      </c>
      <c r="M96" t="s">
        <v>23</v>
      </c>
      <c r="N96" t="s">
        <v>69</v>
      </c>
      <c r="O96" t="s">
        <v>33</v>
      </c>
    </row>
    <row r="97" spans="1:15" x14ac:dyDescent="0.35">
      <c r="A97">
        <v>866251</v>
      </c>
      <c r="B97" t="s">
        <v>15</v>
      </c>
      <c r="C97" t="s">
        <v>78</v>
      </c>
      <c r="D97">
        <v>30</v>
      </c>
      <c r="E97" t="s">
        <v>35</v>
      </c>
      <c r="F97" s="1">
        <v>42439.800694444442</v>
      </c>
      <c r="G97" t="s">
        <v>236</v>
      </c>
      <c r="H97" t="s">
        <v>51</v>
      </c>
      <c r="I97" t="s">
        <v>237</v>
      </c>
      <c r="J97">
        <v>19</v>
      </c>
      <c r="K97" t="s">
        <v>63</v>
      </c>
      <c r="L97" t="s">
        <v>31</v>
      </c>
      <c r="M97" t="s">
        <v>23</v>
      </c>
      <c r="N97" t="s">
        <v>24</v>
      </c>
      <c r="O97" t="s">
        <v>25</v>
      </c>
    </row>
    <row r="98" spans="1:15" x14ac:dyDescent="0.35">
      <c r="A98">
        <v>779369</v>
      </c>
      <c r="B98" t="s">
        <v>15</v>
      </c>
      <c r="C98" t="s">
        <v>78</v>
      </c>
      <c r="D98">
        <v>36</v>
      </c>
      <c r="E98" t="s">
        <v>35</v>
      </c>
      <c r="F98" s="1">
        <v>42411.815972222219</v>
      </c>
      <c r="G98" t="s">
        <v>238</v>
      </c>
      <c r="H98" t="s">
        <v>116</v>
      </c>
      <c r="I98" t="s">
        <v>239</v>
      </c>
      <c r="J98">
        <v>19</v>
      </c>
      <c r="K98" t="s">
        <v>63</v>
      </c>
      <c r="L98" t="s">
        <v>50</v>
      </c>
      <c r="M98" t="s">
        <v>23</v>
      </c>
      <c r="N98" t="s">
        <v>24</v>
      </c>
      <c r="O98" t="s">
        <v>25</v>
      </c>
    </row>
    <row r="99" spans="1:15" x14ac:dyDescent="0.35">
      <c r="A99">
        <v>779369</v>
      </c>
      <c r="B99" t="s">
        <v>15</v>
      </c>
      <c r="C99" t="s">
        <v>78</v>
      </c>
      <c r="D99">
        <v>36</v>
      </c>
      <c r="E99" t="s">
        <v>35</v>
      </c>
      <c r="F99" s="1">
        <v>42389.222222222219</v>
      </c>
      <c r="G99" t="s">
        <v>240</v>
      </c>
      <c r="H99" t="s">
        <v>91</v>
      </c>
      <c r="I99" t="s">
        <v>241</v>
      </c>
      <c r="J99">
        <v>5</v>
      </c>
      <c r="K99" t="s">
        <v>30</v>
      </c>
      <c r="L99" t="s">
        <v>22</v>
      </c>
      <c r="M99" t="s">
        <v>23</v>
      </c>
      <c r="N99" t="s">
        <v>24</v>
      </c>
      <c r="O99" t="s">
        <v>33</v>
      </c>
    </row>
    <row r="100" spans="1:15" x14ac:dyDescent="0.35">
      <c r="A100">
        <v>779369</v>
      </c>
      <c r="B100" t="s">
        <v>15</v>
      </c>
      <c r="C100" t="s">
        <v>78</v>
      </c>
      <c r="D100">
        <v>36</v>
      </c>
      <c r="E100" t="s">
        <v>35</v>
      </c>
      <c r="F100" s="1">
        <v>42387.54583333333</v>
      </c>
      <c r="G100" t="s">
        <v>242</v>
      </c>
      <c r="H100" t="s">
        <v>116</v>
      </c>
      <c r="I100" t="s">
        <v>243</v>
      </c>
      <c r="J100">
        <v>13</v>
      </c>
      <c r="K100" t="s">
        <v>21</v>
      </c>
      <c r="L100" t="s">
        <v>22</v>
      </c>
      <c r="M100" t="s">
        <v>23</v>
      </c>
      <c r="N100" t="s">
        <v>24</v>
      </c>
      <c r="O100" t="s">
        <v>44</v>
      </c>
    </row>
    <row r="101" spans="1:15" x14ac:dyDescent="0.35">
      <c r="A101">
        <v>1281997</v>
      </c>
      <c r="B101" t="s">
        <v>38</v>
      </c>
      <c r="C101" t="s">
        <v>16</v>
      </c>
      <c r="D101">
        <v>14</v>
      </c>
      <c r="E101" t="s">
        <v>195</v>
      </c>
      <c r="F101" s="1">
        <v>42420.70208333333</v>
      </c>
      <c r="G101" t="s">
        <v>244</v>
      </c>
      <c r="H101" t="s">
        <v>66</v>
      </c>
      <c r="I101" t="s">
        <v>245</v>
      </c>
      <c r="J101">
        <v>16</v>
      </c>
      <c r="K101" t="s">
        <v>68</v>
      </c>
      <c r="L101" t="s">
        <v>50</v>
      </c>
      <c r="M101" t="s">
        <v>57</v>
      </c>
      <c r="N101" t="s">
        <v>32</v>
      </c>
      <c r="O101" t="s">
        <v>44</v>
      </c>
    </row>
    <row r="102" spans="1:15" x14ac:dyDescent="0.35">
      <c r="A102">
        <v>615057</v>
      </c>
      <c r="B102" t="s">
        <v>38</v>
      </c>
      <c r="C102" t="s">
        <v>78</v>
      </c>
      <c r="D102">
        <v>25</v>
      </c>
      <c r="E102" t="s">
        <v>134</v>
      </c>
      <c r="F102" s="1">
        <v>42379.31527777778</v>
      </c>
      <c r="G102" t="s">
        <v>246</v>
      </c>
      <c r="H102" t="s">
        <v>54</v>
      </c>
      <c r="I102" t="s">
        <v>247</v>
      </c>
      <c r="J102">
        <v>7</v>
      </c>
      <c r="K102" t="s">
        <v>56</v>
      </c>
      <c r="L102" t="s">
        <v>22</v>
      </c>
      <c r="M102" t="s">
        <v>57</v>
      </c>
      <c r="N102" t="s">
        <v>69</v>
      </c>
      <c r="O102" t="s">
        <v>33</v>
      </c>
    </row>
    <row r="103" spans="1:15" x14ac:dyDescent="0.35">
      <c r="A103">
        <v>786055</v>
      </c>
      <c r="B103" t="s">
        <v>38</v>
      </c>
      <c r="C103" t="s">
        <v>39</v>
      </c>
      <c r="D103">
        <v>25</v>
      </c>
      <c r="E103" t="s">
        <v>35</v>
      </c>
      <c r="F103" s="1">
        <v>42388.779166666667</v>
      </c>
      <c r="G103" t="s">
        <v>248</v>
      </c>
      <c r="H103" t="s">
        <v>54</v>
      </c>
      <c r="I103" t="s">
        <v>249</v>
      </c>
      <c r="J103">
        <v>18</v>
      </c>
      <c r="K103" t="s">
        <v>49</v>
      </c>
      <c r="L103" t="s">
        <v>22</v>
      </c>
      <c r="M103" t="s">
        <v>23</v>
      </c>
      <c r="N103" t="s">
        <v>69</v>
      </c>
      <c r="O103" t="s">
        <v>25</v>
      </c>
    </row>
    <row r="104" spans="1:15" x14ac:dyDescent="0.35">
      <c r="A104">
        <v>786055</v>
      </c>
      <c r="B104" t="s">
        <v>38</v>
      </c>
      <c r="C104" t="s">
        <v>39</v>
      </c>
      <c r="D104">
        <v>25</v>
      </c>
      <c r="E104" t="s">
        <v>35</v>
      </c>
      <c r="F104" s="1">
        <v>42387.742361111108</v>
      </c>
      <c r="G104" t="s">
        <v>250</v>
      </c>
      <c r="H104" t="s">
        <v>251</v>
      </c>
      <c r="I104" t="s">
        <v>252</v>
      </c>
      <c r="J104">
        <v>17</v>
      </c>
      <c r="K104" t="s">
        <v>21</v>
      </c>
      <c r="L104" t="s">
        <v>22</v>
      </c>
      <c r="M104" t="s">
        <v>23</v>
      </c>
      <c r="N104" t="s">
        <v>69</v>
      </c>
      <c r="O104" t="s">
        <v>25</v>
      </c>
    </row>
    <row r="105" spans="1:15" x14ac:dyDescent="0.35">
      <c r="A105">
        <v>850656</v>
      </c>
      <c r="B105" t="s">
        <v>15</v>
      </c>
      <c r="C105" t="s">
        <v>78</v>
      </c>
      <c r="D105">
        <v>26</v>
      </c>
      <c r="E105" t="s">
        <v>75</v>
      </c>
      <c r="F105" s="1">
        <v>42434.883333333331</v>
      </c>
      <c r="G105" t="s">
        <v>253</v>
      </c>
      <c r="H105" t="s">
        <v>106</v>
      </c>
      <c r="I105" t="s">
        <v>254</v>
      </c>
      <c r="J105">
        <v>21</v>
      </c>
      <c r="K105" t="s">
        <v>68</v>
      </c>
      <c r="L105" t="s">
        <v>31</v>
      </c>
      <c r="M105" t="s">
        <v>57</v>
      </c>
      <c r="N105" t="s">
        <v>69</v>
      </c>
      <c r="O105" t="s">
        <v>25</v>
      </c>
    </row>
    <row r="106" spans="1:15" x14ac:dyDescent="0.35">
      <c r="A106">
        <v>850656</v>
      </c>
      <c r="B106" t="s">
        <v>15</v>
      </c>
      <c r="C106" t="s">
        <v>78</v>
      </c>
      <c r="D106">
        <v>26</v>
      </c>
      <c r="E106" t="s">
        <v>75</v>
      </c>
      <c r="F106" s="1">
        <v>42435.225694444445</v>
      </c>
      <c r="G106" t="s">
        <v>76</v>
      </c>
      <c r="H106" t="s">
        <v>54</v>
      </c>
      <c r="I106" t="s">
        <v>255</v>
      </c>
      <c r="J106">
        <v>5</v>
      </c>
      <c r="K106" t="s">
        <v>56</v>
      </c>
      <c r="L106" t="s">
        <v>31</v>
      </c>
      <c r="M106" t="s">
        <v>57</v>
      </c>
      <c r="N106" t="s">
        <v>69</v>
      </c>
      <c r="O106" t="s">
        <v>33</v>
      </c>
    </row>
    <row r="107" spans="1:15" x14ac:dyDescent="0.35">
      <c r="A107">
        <v>850656</v>
      </c>
      <c r="B107" t="s">
        <v>15</v>
      </c>
      <c r="C107" t="s">
        <v>78</v>
      </c>
      <c r="D107">
        <v>26</v>
      </c>
      <c r="E107" t="s">
        <v>75</v>
      </c>
      <c r="F107" s="1">
        <v>42435.29791666667</v>
      </c>
      <c r="G107" t="s">
        <v>76</v>
      </c>
      <c r="H107" t="s">
        <v>106</v>
      </c>
      <c r="I107" t="s">
        <v>256</v>
      </c>
      <c r="J107">
        <v>7</v>
      </c>
      <c r="K107" t="s">
        <v>56</v>
      </c>
      <c r="L107" t="s">
        <v>31</v>
      </c>
      <c r="M107" t="s">
        <v>57</v>
      </c>
      <c r="N107" t="s">
        <v>69</v>
      </c>
      <c r="O107" t="s">
        <v>33</v>
      </c>
    </row>
    <row r="108" spans="1:15" x14ac:dyDescent="0.35">
      <c r="A108">
        <v>2368365</v>
      </c>
      <c r="B108" t="s">
        <v>15</v>
      </c>
      <c r="C108" t="s">
        <v>16</v>
      </c>
      <c r="D108">
        <v>27</v>
      </c>
      <c r="E108" t="s">
        <v>134</v>
      </c>
      <c r="F108" s="1">
        <v>42459.470138888886</v>
      </c>
      <c r="G108" t="s">
        <v>257</v>
      </c>
      <c r="H108" t="s">
        <v>28</v>
      </c>
      <c r="I108" t="s">
        <v>258</v>
      </c>
      <c r="J108">
        <v>11</v>
      </c>
      <c r="K108" t="s">
        <v>30</v>
      </c>
      <c r="L108" t="s">
        <v>31</v>
      </c>
      <c r="M108" t="s">
        <v>23</v>
      </c>
      <c r="N108" t="s">
        <v>69</v>
      </c>
      <c r="O108" t="s">
        <v>44</v>
      </c>
    </row>
    <row r="109" spans="1:15" x14ac:dyDescent="0.35">
      <c r="A109">
        <v>764296</v>
      </c>
      <c r="B109" t="s">
        <v>15</v>
      </c>
      <c r="C109" t="s">
        <v>16</v>
      </c>
      <c r="D109">
        <v>23</v>
      </c>
      <c r="E109" t="s">
        <v>17</v>
      </c>
      <c r="F109" s="1">
        <v>42404.362500000003</v>
      </c>
      <c r="G109" t="s">
        <v>259</v>
      </c>
      <c r="H109" t="s">
        <v>91</v>
      </c>
      <c r="I109" t="s">
        <v>260</v>
      </c>
      <c r="J109">
        <v>8</v>
      </c>
      <c r="K109" t="s">
        <v>63</v>
      </c>
      <c r="L109" t="s">
        <v>50</v>
      </c>
      <c r="M109" t="s">
        <v>23</v>
      </c>
      <c r="N109" t="s">
        <v>69</v>
      </c>
      <c r="O109" t="s">
        <v>33</v>
      </c>
    </row>
    <row r="110" spans="1:15" x14ac:dyDescent="0.35">
      <c r="A110">
        <v>764296</v>
      </c>
      <c r="B110" t="s">
        <v>15</v>
      </c>
      <c r="C110" t="s">
        <v>16</v>
      </c>
      <c r="D110">
        <v>23</v>
      </c>
      <c r="E110" t="s">
        <v>17</v>
      </c>
      <c r="F110" s="1">
        <v>42401.840277777781</v>
      </c>
      <c r="G110" t="s">
        <v>76</v>
      </c>
      <c r="H110" t="s">
        <v>19</v>
      </c>
      <c r="I110" t="s">
        <v>261</v>
      </c>
      <c r="J110">
        <v>20</v>
      </c>
      <c r="K110" t="s">
        <v>21</v>
      </c>
      <c r="L110" t="s">
        <v>50</v>
      </c>
      <c r="M110" t="s">
        <v>23</v>
      </c>
      <c r="N110" t="s">
        <v>69</v>
      </c>
      <c r="O110" t="s">
        <v>25</v>
      </c>
    </row>
    <row r="111" spans="1:15" x14ac:dyDescent="0.35">
      <c r="A111">
        <v>779373</v>
      </c>
      <c r="B111" t="s">
        <v>15</v>
      </c>
      <c r="C111" t="s">
        <v>78</v>
      </c>
      <c r="D111">
        <v>40</v>
      </c>
      <c r="E111" t="s">
        <v>134</v>
      </c>
      <c r="F111" s="1">
        <v>42428.248611111114</v>
      </c>
      <c r="G111" t="s">
        <v>262</v>
      </c>
      <c r="H111" t="s">
        <v>116</v>
      </c>
      <c r="I111" t="s">
        <v>263</v>
      </c>
      <c r="J111">
        <v>5</v>
      </c>
      <c r="K111" t="s">
        <v>56</v>
      </c>
      <c r="L111" t="s">
        <v>50</v>
      </c>
      <c r="M111" t="s">
        <v>57</v>
      </c>
      <c r="N111" t="s">
        <v>93</v>
      </c>
      <c r="O111" t="s">
        <v>33</v>
      </c>
    </row>
    <row r="112" spans="1:15" x14ac:dyDescent="0.35">
      <c r="A112">
        <v>771793</v>
      </c>
      <c r="B112" t="s">
        <v>38</v>
      </c>
      <c r="C112" t="s">
        <v>34</v>
      </c>
      <c r="D112">
        <v>40</v>
      </c>
      <c r="E112" t="s">
        <v>17</v>
      </c>
      <c r="F112" s="1">
        <v>42374.897916666669</v>
      </c>
      <c r="G112" t="s">
        <v>264</v>
      </c>
      <c r="H112" t="s">
        <v>71</v>
      </c>
      <c r="I112" t="s">
        <v>265</v>
      </c>
      <c r="J112">
        <v>21</v>
      </c>
      <c r="K112" t="s">
        <v>49</v>
      </c>
      <c r="L112" t="s">
        <v>22</v>
      </c>
      <c r="M112" t="s">
        <v>23</v>
      </c>
      <c r="N112" t="s">
        <v>93</v>
      </c>
      <c r="O112" t="s">
        <v>25</v>
      </c>
    </row>
    <row r="113" spans="1:15" x14ac:dyDescent="0.35">
      <c r="A113">
        <v>771793</v>
      </c>
      <c r="B113" t="s">
        <v>38</v>
      </c>
      <c r="C113" t="s">
        <v>34</v>
      </c>
      <c r="D113">
        <v>40</v>
      </c>
      <c r="E113" t="s">
        <v>17</v>
      </c>
      <c r="F113" s="1">
        <v>42379.196527777778</v>
      </c>
      <c r="G113" t="s">
        <v>76</v>
      </c>
      <c r="H113" t="s">
        <v>71</v>
      </c>
      <c r="I113" t="s">
        <v>266</v>
      </c>
      <c r="J113">
        <v>4</v>
      </c>
      <c r="K113" t="s">
        <v>56</v>
      </c>
      <c r="L113" t="s">
        <v>22</v>
      </c>
      <c r="M113" t="s">
        <v>57</v>
      </c>
      <c r="N113" t="s">
        <v>93</v>
      </c>
      <c r="O113" t="s">
        <v>58</v>
      </c>
    </row>
    <row r="114" spans="1:15" x14ac:dyDescent="0.35">
      <c r="A114">
        <v>771793</v>
      </c>
      <c r="B114" t="s">
        <v>38</v>
      </c>
      <c r="C114" t="s">
        <v>34</v>
      </c>
      <c r="D114">
        <v>40</v>
      </c>
      <c r="E114" t="s">
        <v>17</v>
      </c>
      <c r="F114" s="1">
        <v>42418.849305555559</v>
      </c>
      <c r="G114" t="s">
        <v>36</v>
      </c>
      <c r="H114" t="s">
        <v>19</v>
      </c>
      <c r="I114" t="s">
        <v>267</v>
      </c>
      <c r="J114">
        <v>20</v>
      </c>
      <c r="K114" t="s">
        <v>63</v>
      </c>
      <c r="L114" t="s">
        <v>50</v>
      </c>
      <c r="M114" t="s">
        <v>23</v>
      </c>
      <c r="N114" t="s">
        <v>93</v>
      </c>
      <c r="O114" t="s">
        <v>25</v>
      </c>
    </row>
    <row r="115" spans="1:15" x14ac:dyDescent="0.35">
      <c r="A115">
        <v>771793</v>
      </c>
      <c r="B115" t="s">
        <v>38</v>
      </c>
      <c r="C115" t="s">
        <v>34</v>
      </c>
      <c r="D115">
        <v>40</v>
      </c>
      <c r="E115" t="s">
        <v>17</v>
      </c>
      <c r="F115" s="1">
        <v>42412.026388888888</v>
      </c>
      <c r="G115" t="s">
        <v>268</v>
      </c>
      <c r="H115" t="s">
        <v>19</v>
      </c>
      <c r="I115" t="s">
        <v>269</v>
      </c>
      <c r="J115">
        <v>0</v>
      </c>
      <c r="K115" t="s">
        <v>42</v>
      </c>
      <c r="L115" t="s">
        <v>50</v>
      </c>
      <c r="M115" t="s">
        <v>23</v>
      </c>
      <c r="N115" t="s">
        <v>93</v>
      </c>
      <c r="O115" t="s">
        <v>58</v>
      </c>
    </row>
    <row r="116" spans="1:15" x14ac:dyDescent="0.35">
      <c r="A116">
        <v>1106084</v>
      </c>
      <c r="B116" t="s">
        <v>15</v>
      </c>
      <c r="C116" t="s">
        <v>78</v>
      </c>
      <c r="D116">
        <v>37</v>
      </c>
      <c r="E116" t="s">
        <v>35</v>
      </c>
      <c r="F116" s="1">
        <v>42451.784722222219</v>
      </c>
      <c r="G116" t="s">
        <v>270</v>
      </c>
      <c r="H116" t="s">
        <v>54</v>
      </c>
      <c r="I116" t="s">
        <v>271</v>
      </c>
      <c r="J116">
        <v>18</v>
      </c>
      <c r="K116" t="s">
        <v>49</v>
      </c>
      <c r="L116" t="s">
        <v>31</v>
      </c>
      <c r="M116" t="s">
        <v>23</v>
      </c>
      <c r="N116" t="s">
        <v>24</v>
      </c>
      <c r="O116" t="s">
        <v>25</v>
      </c>
    </row>
    <row r="117" spans="1:15" x14ac:dyDescent="0.35">
      <c r="A117">
        <v>1106084</v>
      </c>
      <c r="B117" t="s">
        <v>15</v>
      </c>
      <c r="C117" t="s">
        <v>78</v>
      </c>
      <c r="D117">
        <v>37</v>
      </c>
      <c r="E117" t="s">
        <v>35</v>
      </c>
      <c r="F117" s="1">
        <v>42434.729166666664</v>
      </c>
      <c r="G117" t="s">
        <v>139</v>
      </c>
      <c r="H117" t="s">
        <v>71</v>
      </c>
      <c r="I117" t="s">
        <v>272</v>
      </c>
      <c r="J117">
        <v>17</v>
      </c>
      <c r="K117" t="s">
        <v>68</v>
      </c>
      <c r="L117" t="s">
        <v>31</v>
      </c>
      <c r="M117" t="s">
        <v>57</v>
      </c>
      <c r="N117" t="s">
        <v>24</v>
      </c>
      <c r="O117" t="s">
        <v>25</v>
      </c>
    </row>
    <row r="118" spans="1:15" x14ac:dyDescent="0.35">
      <c r="A118">
        <v>1106084</v>
      </c>
      <c r="B118" t="s">
        <v>15</v>
      </c>
      <c r="C118" t="s">
        <v>78</v>
      </c>
      <c r="D118">
        <v>37</v>
      </c>
      <c r="E118" t="s">
        <v>35</v>
      </c>
      <c r="F118" s="1">
        <v>42435.388888888891</v>
      </c>
      <c r="G118" t="s">
        <v>273</v>
      </c>
      <c r="H118" t="s">
        <v>28</v>
      </c>
      <c r="I118" t="s">
        <v>274</v>
      </c>
      <c r="J118">
        <v>9</v>
      </c>
      <c r="K118" t="s">
        <v>56</v>
      </c>
      <c r="L118" t="s">
        <v>31</v>
      </c>
      <c r="M118" t="s">
        <v>57</v>
      </c>
      <c r="N118" t="s">
        <v>24</v>
      </c>
      <c r="O118" t="s">
        <v>33</v>
      </c>
    </row>
    <row r="119" spans="1:15" x14ac:dyDescent="0.35">
      <c r="A119">
        <v>1106084</v>
      </c>
      <c r="B119" t="s">
        <v>15</v>
      </c>
      <c r="C119" t="s">
        <v>78</v>
      </c>
      <c r="D119">
        <v>37</v>
      </c>
      <c r="E119" t="s">
        <v>35</v>
      </c>
      <c r="F119" s="1">
        <v>42438.20416666667</v>
      </c>
      <c r="G119" t="s">
        <v>275</v>
      </c>
      <c r="H119" t="s">
        <v>19</v>
      </c>
      <c r="I119" t="s">
        <v>276</v>
      </c>
      <c r="J119">
        <v>4</v>
      </c>
      <c r="K119" t="s">
        <v>30</v>
      </c>
      <c r="L119" t="s">
        <v>31</v>
      </c>
      <c r="M119" t="s">
        <v>23</v>
      </c>
      <c r="N119" t="s">
        <v>24</v>
      </c>
      <c r="O119" t="s">
        <v>58</v>
      </c>
    </row>
    <row r="120" spans="1:15" x14ac:dyDescent="0.35">
      <c r="A120">
        <v>1106084</v>
      </c>
      <c r="B120" t="s">
        <v>15</v>
      </c>
      <c r="C120" t="s">
        <v>78</v>
      </c>
      <c r="D120">
        <v>37</v>
      </c>
      <c r="E120" t="s">
        <v>35</v>
      </c>
      <c r="F120" s="1">
        <v>42438.75</v>
      </c>
      <c r="G120" t="s">
        <v>277</v>
      </c>
      <c r="H120" t="s">
        <v>54</v>
      </c>
      <c r="I120" t="s">
        <v>278</v>
      </c>
      <c r="J120">
        <v>18</v>
      </c>
      <c r="K120" t="s">
        <v>30</v>
      </c>
      <c r="L120" t="s">
        <v>31</v>
      </c>
      <c r="M120" t="s">
        <v>23</v>
      </c>
      <c r="N120" t="s">
        <v>24</v>
      </c>
      <c r="O120" t="s">
        <v>25</v>
      </c>
    </row>
    <row r="121" spans="1:15" x14ac:dyDescent="0.35">
      <c r="A121">
        <v>868895</v>
      </c>
      <c r="B121" t="s">
        <v>15</v>
      </c>
      <c r="C121" t="s">
        <v>16</v>
      </c>
      <c r="D121">
        <v>23</v>
      </c>
      <c r="E121" t="s">
        <v>17</v>
      </c>
      <c r="F121" s="1">
        <v>42443.982638888891</v>
      </c>
      <c r="G121" t="s">
        <v>279</v>
      </c>
      <c r="H121" t="s">
        <v>19</v>
      </c>
      <c r="I121" t="s">
        <v>280</v>
      </c>
      <c r="J121">
        <v>23</v>
      </c>
      <c r="K121" t="s">
        <v>21</v>
      </c>
      <c r="L121" t="s">
        <v>31</v>
      </c>
      <c r="M121" t="s">
        <v>23</v>
      </c>
      <c r="N121" t="s">
        <v>69</v>
      </c>
      <c r="O121" t="s">
        <v>104</v>
      </c>
    </row>
    <row r="122" spans="1:15" x14ac:dyDescent="0.35">
      <c r="A122">
        <v>868895</v>
      </c>
      <c r="B122" t="s">
        <v>15</v>
      </c>
      <c r="C122" t="s">
        <v>16</v>
      </c>
      <c r="D122">
        <v>23</v>
      </c>
      <c r="E122" t="s">
        <v>17</v>
      </c>
      <c r="F122" s="1">
        <v>42441.512499999997</v>
      </c>
      <c r="G122" t="s">
        <v>281</v>
      </c>
      <c r="H122" t="s">
        <v>28</v>
      </c>
      <c r="I122" t="s">
        <v>282</v>
      </c>
      <c r="J122">
        <v>12</v>
      </c>
      <c r="K122" t="s">
        <v>68</v>
      </c>
      <c r="L122" t="s">
        <v>31</v>
      </c>
      <c r="M122" t="s">
        <v>57</v>
      </c>
      <c r="N122" t="s">
        <v>69</v>
      </c>
      <c r="O122" t="s">
        <v>44</v>
      </c>
    </row>
    <row r="123" spans="1:15" x14ac:dyDescent="0.35">
      <c r="A123">
        <v>868895</v>
      </c>
      <c r="B123" t="s">
        <v>15</v>
      </c>
      <c r="C123" t="s">
        <v>16</v>
      </c>
      <c r="D123">
        <v>23</v>
      </c>
      <c r="E123" t="s">
        <v>17</v>
      </c>
      <c r="F123" s="1">
        <v>42441.513194444444</v>
      </c>
      <c r="G123" t="s">
        <v>283</v>
      </c>
      <c r="H123" t="s">
        <v>19</v>
      </c>
      <c r="I123" t="s">
        <v>284</v>
      </c>
      <c r="J123">
        <v>12</v>
      </c>
      <c r="K123" t="s">
        <v>68</v>
      </c>
      <c r="L123" t="s">
        <v>31</v>
      </c>
      <c r="M123" t="s">
        <v>57</v>
      </c>
      <c r="N123" t="s">
        <v>69</v>
      </c>
      <c r="O123" t="s">
        <v>44</v>
      </c>
    </row>
    <row r="124" spans="1:15" x14ac:dyDescent="0.35">
      <c r="A124">
        <v>868895</v>
      </c>
      <c r="B124" t="s">
        <v>15</v>
      </c>
      <c r="C124" t="s">
        <v>16</v>
      </c>
      <c r="D124">
        <v>23</v>
      </c>
      <c r="E124" t="s">
        <v>17</v>
      </c>
      <c r="F124" s="1">
        <v>42445.001388888886</v>
      </c>
      <c r="G124" t="s">
        <v>18</v>
      </c>
      <c r="H124" t="s">
        <v>28</v>
      </c>
      <c r="I124" t="s">
        <v>285</v>
      </c>
      <c r="J124">
        <v>0</v>
      </c>
      <c r="K124" t="s">
        <v>30</v>
      </c>
      <c r="L124" t="s">
        <v>31</v>
      </c>
      <c r="M124" t="s">
        <v>23</v>
      </c>
      <c r="N124" t="s">
        <v>69</v>
      </c>
      <c r="O124" t="s">
        <v>58</v>
      </c>
    </row>
    <row r="125" spans="1:15" x14ac:dyDescent="0.35">
      <c r="A125">
        <v>868895</v>
      </c>
      <c r="B125" t="s">
        <v>15</v>
      </c>
      <c r="C125" t="s">
        <v>16</v>
      </c>
      <c r="D125">
        <v>23</v>
      </c>
      <c r="E125" t="s">
        <v>17</v>
      </c>
      <c r="F125" s="1">
        <v>42445.009722222225</v>
      </c>
      <c r="G125" t="s">
        <v>286</v>
      </c>
      <c r="H125" t="s">
        <v>54</v>
      </c>
      <c r="I125" t="s">
        <v>287</v>
      </c>
      <c r="J125">
        <v>0</v>
      </c>
      <c r="K125" t="s">
        <v>30</v>
      </c>
      <c r="L125" t="s">
        <v>31</v>
      </c>
      <c r="M125" t="s">
        <v>23</v>
      </c>
      <c r="N125" t="s">
        <v>69</v>
      </c>
      <c r="O125" t="s">
        <v>58</v>
      </c>
    </row>
    <row r="126" spans="1:15" x14ac:dyDescent="0.35">
      <c r="A126">
        <v>808934</v>
      </c>
      <c r="B126" t="s">
        <v>15</v>
      </c>
      <c r="C126" t="s">
        <v>34</v>
      </c>
      <c r="D126">
        <v>36</v>
      </c>
      <c r="E126" t="s">
        <v>64</v>
      </c>
      <c r="F126" s="1">
        <v>42453.511805555558</v>
      </c>
      <c r="G126" t="s">
        <v>288</v>
      </c>
      <c r="H126" t="s">
        <v>71</v>
      </c>
      <c r="I126" t="s">
        <v>289</v>
      </c>
      <c r="J126">
        <v>12</v>
      </c>
      <c r="K126" t="s">
        <v>63</v>
      </c>
      <c r="L126" t="s">
        <v>31</v>
      </c>
      <c r="M126" t="s">
        <v>23</v>
      </c>
      <c r="N126" t="s">
        <v>24</v>
      </c>
      <c r="O126" t="s">
        <v>44</v>
      </c>
    </row>
    <row r="127" spans="1:15" x14ac:dyDescent="0.35">
      <c r="A127">
        <v>808934</v>
      </c>
      <c r="B127" t="s">
        <v>15</v>
      </c>
      <c r="C127" t="s">
        <v>34</v>
      </c>
      <c r="D127">
        <v>36</v>
      </c>
      <c r="E127" t="s">
        <v>64</v>
      </c>
      <c r="F127" s="1">
        <v>42440.706944444442</v>
      </c>
      <c r="G127" t="s">
        <v>163</v>
      </c>
      <c r="H127" t="s">
        <v>51</v>
      </c>
      <c r="I127" t="s">
        <v>290</v>
      </c>
      <c r="J127">
        <v>16</v>
      </c>
      <c r="K127" t="s">
        <v>42</v>
      </c>
      <c r="L127" t="s">
        <v>31</v>
      </c>
      <c r="M127" t="s">
        <v>23</v>
      </c>
      <c r="N127" t="s">
        <v>24</v>
      </c>
      <c r="O127" t="s">
        <v>44</v>
      </c>
    </row>
    <row r="128" spans="1:15" x14ac:dyDescent="0.35">
      <c r="A128">
        <v>808934</v>
      </c>
      <c r="B128" t="s">
        <v>15</v>
      </c>
      <c r="C128" t="s">
        <v>34</v>
      </c>
      <c r="D128">
        <v>36</v>
      </c>
      <c r="E128" t="s">
        <v>64</v>
      </c>
      <c r="F128" s="1">
        <v>42406.288888888892</v>
      </c>
      <c r="G128" t="s">
        <v>76</v>
      </c>
      <c r="H128" t="s">
        <v>71</v>
      </c>
      <c r="I128" t="s">
        <v>291</v>
      </c>
      <c r="J128">
        <v>6</v>
      </c>
      <c r="K128" t="s">
        <v>68</v>
      </c>
      <c r="L128" t="s">
        <v>50</v>
      </c>
      <c r="M128" t="s">
        <v>57</v>
      </c>
      <c r="N128" t="s">
        <v>24</v>
      </c>
      <c r="O128" t="s">
        <v>33</v>
      </c>
    </row>
    <row r="129" spans="1:15" x14ac:dyDescent="0.35">
      <c r="A129">
        <v>808934</v>
      </c>
      <c r="B129" t="s">
        <v>15</v>
      </c>
      <c r="C129" t="s">
        <v>34</v>
      </c>
      <c r="D129">
        <v>36</v>
      </c>
      <c r="E129" t="s">
        <v>64</v>
      </c>
      <c r="F129" s="1">
        <v>42406.443055555559</v>
      </c>
      <c r="G129" t="s">
        <v>292</v>
      </c>
      <c r="H129" t="s">
        <v>19</v>
      </c>
      <c r="I129" t="s">
        <v>293</v>
      </c>
      <c r="J129">
        <v>10</v>
      </c>
      <c r="K129" t="s">
        <v>68</v>
      </c>
      <c r="L129" t="s">
        <v>50</v>
      </c>
      <c r="M129" t="s">
        <v>57</v>
      </c>
      <c r="N129" t="s">
        <v>24</v>
      </c>
      <c r="O129" t="s">
        <v>33</v>
      </c>
    </row>
    <row r="130" spans="1:15" x14ac:dyDescent="0.35">
      <c r="A130">
        <v>808934</v>
      </c>
      <c r="B130" t="s">
        <v>15</v>
      </c>
      <c r="C130" t="s">
        <v>34</v>
      </c>
      <c r="D130">
        <v>36</v>
      </c>
      <c r="E130" t="s">
        <v>64</v>
      </c>
      <c r="F130" s="1">
        <v>42406.829861111109</v>
      </c>
      <c r="G130" t="s">
        <v>294</v>
      </c>
      <c r="H130" t="s">
        <v>71</v>
      </c>
      <c r="I130" t="s">
        <v>295</v>
      </c>
      <c r="J130">
        <v>19</v>
      </c>
      <c r="K130" t="s">
        <v>68</v>
      </c>
      <c r="L130" t="s">
        <v>50</v>
      </c>
      <c r="M130" t="s">
        <v>57</v>
      </c>
      <c r="N130" t="s">
        <v>24</v>
      </c>
      <c r="O130" t="s">
        <v>25</v>
      </c>
    </row>
    <row r="131" spans="1:15" x14ac:dyDescent="0.35">
      <c r="A131">
        <v>808934</v>
      </c>
      <c r="B131" t="s">
        <v>15</v>
      </c>
      <c r="C131" t="s">
        <v>34</v>
      </c>
      <c r="D131">
        <v>36</v>
      </c>
      <c r="E131" t="s">
        <v>64</v>
      </c>
      <c r="F131" s="1">
        <v>42435.526388888888</v>
      </c>
      <c r="G131" t="s">
        <v>296</v>
      </c>
      <c r="H131" t="s">
        <v>19</v>
      </c>
      <c r="I131" t="s">
        <v>297</v>
      </c>
      <c r="J131">
        <v>12</v>
      </c>
      <c r="K131" t="s">
        <v>56</v>
      </c>
      <c r="L131" t="s">
        <v>31</v>
      </c>
      <c r="M131" t="s">
        <v>57</v>
      </c>
      <c r="N131" t="s">
        <v>24</v>
      </c>
      <c r="O131" t="s">
        <v>44</v>
      </c>
    </row>
    <row r="132" spans="1:15" x14ac:dyDescent="0.35">
      <c r="A132">
        <v>808934</v>
      </c>
      <c r="B132" t="s">
        <v>15</v>
      </c>
      <c r="C132" t="s">
        <v>34</v>
      </c>
      <c r="D132">
        <v>36</v>
      </c>
      <c r="E132" t="s">
        <v>64</v>
      </c>
      <c r="F132" s="1">
        <v>42412.719444444447</v>
      </c>
      <c r="G132" t="s">
        <v>298</v>
      </c>
      <c r="H132" t="s">
        <v>86</v>
      </c>
      <c r="I132" t="s">
        <v>299</v>
      </c>
      <c r="J132">
        <v>17</v>
      </c>
      <c r="K132" t="s">
        <v>42</v>
      </c>
      <c r="L132" t="s">
        <v>50</v>
      </c>
      <c r="M132" t="s">
        <v>23</v>
      </c>
      <c r="N132" t="s">
        <v>24</v>
      </c>
      <c r="O132" t="s">
        <v>25</v>
      </c>
    </row>
    <row r="133" spans="1:15" x14ac:dyDescent="0.35">
      <c r="A133">
        <v>808934</v>
      </c>
      <c r="B133" t="s">
        <v>15</v>
      </c>
      <c r="C133" t="s">
        <v>34</v>
      </c>
      <c r="D133">
        <v>36</v>
      </c>
      <c r="E133" t="s">
        <v>64</v>
      </c>
      <c r="F133" s="1">
        <v>42435.581944444442</v>
      </c>
      <c r="G133" t="s">
        <v>300</v>
      </c>
      <c r="H133" t="s">
        <v>71</v>
      </c>
      <c r="I133" t="s">
        <v>301</v>
      </c>
      <c r="J133">
        <v>13</v>
      </c>
      <c r="K133" t="s">
        <v>56</v>
      </c>
      <c r="L133" t="s">
        <v>31</v>
      </c>
      <c r="M133" t="s">
        <v>57</v>
      </c>
      <c r="N133" t="s">
        <v>24</v>
      </c>
      <c r="O133" t="s">
        <v>44</v>
      </c>
    </row>
    <row r="134" spans="1:15" x14ac:dyDescent="0.35">
      <c r="A134">
        <v>808934</v>
      </c>
      <c r="B134" t="s">
        <v>15</v>
      </c>
      <c r="C134" t="s">
        <v>34</v>
      </c>
      <c r="D134">
        <v>36</v>
      </c>
      <c r="E134" t="s">
        <v>64</v>
      </c>
      <c r="F134" s="1">
        <v>42435.583333333336</v>
      </c>
      <c r="G134" t="s">
        <v>302</v>
      </c>
      <c r="H134" t="s">
        <v>71</v>
      </c>
      <c r="I134" t="s">
        <v>303</v>
      </c>
      <c r="J134">
        <v>14</v>
      </c>
      <c r="K134" t="s">
        <v>56</v>
      </c>
      <c r="L134" t="s">
        <v>31</v>
      </c>
      <c r="M134" t="s">
        <v>57</v>
      </c>
      <c r="N134" t="s">
        <v>24</v>
      </c>
      <c r="O134" t="s">
        <v>44</v>
      </c>
    </row>
    <row r="135" spans="1:15" x14ac:dyDescent="0.35">
      <c r="A135">
        <v>808934</v>
      </c>
      <c r="B135" t="s">
        <v>15</v>
      </c>
      <c r="C135" t="s">
        <v>34</v>
      </c>
      <c r="D135">
        <v>36</v>
      </c>
      <c r="E135" t="s">
        <v>64</v>
      </c>
      <c r="F135" s="1">
        <v>42456.671527777777</v>
      </c>
      <c r="G135" t="s">
        <v>304</v>
      </c>
      <c r="H135" t="s">
        <v>71</v>
      </c>
      <c r="I135" t="s">
        <v>305</v>
      </c>
      <c r="J135">
        <v>16</v>
      </c>
      <c r="K135" t="s">
        <v>56</v>
      </c>
      <c r="L135" t="s">
        <v>31</v>
      </c>
      <c r="M135" t="s">
        <v>57</v>
      </c>
      <c r="N135" t="s">
        <v>24</v>
      </c>
      <c r="O135" t="s">
        <v>44</v>
      </c>
    </row>
    <row r="136" spans="1:15" x14ac:dyDescent="0.35">
      <c r="A136">
        <v>939592</v>
      </c>
      <c r="B136" t="s">
        <v>15</v>
      </c>
      <c r="C136" t="s">
        <v>16</v>
      </c>
      <c r="D136">
        <v>34</v>
      </c>
      <c r="E136" t="s">
        <v>17</v>
      </c>
      <c r="F136" s="1">
        <v>42456.618750000001</v>
      </c>
      <c r="G136" t="s">
        <v>306</v>
      </c>
      <c r="H136" t="s">
        <v>71</v>
      </c>
      <c r="I136" t="s">
        <v>307</v>
      </c>
      <c r="J136">
        <v>14</v>
      </c>
      <c r="K136" t="s">
        <v>56</v>
      </c>
      <c r="L136" t="s">
        <v>31</v>
      </c>
      <c r="M136" t="s">
        <v>57</v>
      </c>
      <c r="N136" t="s">
        <v>24</v>
      </c>
      <c r="O136" t="s">
        <v>44</v>
      </c>
    </row>
    <row r="137" spans="1:15" x14ac:dyDescent="0.35">
      <c r="A137">
        <v>771796</v>
      </c>
      <c r="B137" t="s">
        <v>15</v>
      </c>
      <c r="C137" t="s">
        <v>16</v>
      </c>
      <c r="D137">
        <v>35</v>
      </c>
      <c r="E137" t="s">
        <v>17</v>
      </c>
      <c r="F137" s="1">
        <v>42405.636805555558</v>
      </c>
      <c r="G137" t="s">
        <v>308</v>
      </c>
      <c r="H137" t="s">
        <v>86</v>
      </c>
      <c r="I137" t="s">
        <v>309</v>
      </c>
      <c r="J137">
        <v>15</v>
      </c>
      <c r="K137" t="s">
        <v>42</v>
      </c>
      <c r="L137" t="s">
        <v>50</v>
      </c>
      <c r="M137" t="s">
        <v>23</v>
      </c>
      <c r="N137" t="s">
        <v>24</v>
      </c>
      <c r="O137" t="s">
        <v>44</v>
      </c>
    </row>
    <row r="138" spans="1:15" x14ac:dyDescent="0.35">
      <c r="A138">
        <v>771796</v>
      </c>
      <c r="B138" t="s">
        <v>15</v>
      </c>
      <c r="C138" t="s">
        <v>16</v>
      </c>
      <c r="D138">
        <v>35</v>
      </c>
      <c r="E138" t="s">
        <v>17</v>
      </c>
      <c r="F138" s="1">
        <v>42453.448611111111</v>
      </c>
      <c r="G138" t="s">
        <v>310</v>
      </c>
      <c r="H138" t="s">
        <v>71</v>
      </c>
      <c r="I138" t="s">
        <v>311</v>
      </c>
      <c r="J138">
        <v>10</v>
      </c>
      <c r="K138" t="s">
        <v>63</v>
      </c>
      <c r="L138" t="s">
        <v>31</v>
      </c>
      <c r="M138" t="s">
        <v>23</v>
      </c>
      <c r="N138" t="s">
        <v>24</v>
      </c>
      <c r="O138" t="s">
        <v>33</v>
      </c>
    </row>
    <row r="139" spans="1:15" x14ac:dyDescent="0.35">
      <c r="A139">
        <v>771796</v>
      </c>
      <c r="B139" t="s">
        <v>15</v>
      </c>
      <c r="C139" t="s">
        <v>16</v>
      </c>
      <c r="D139">
        <v>35</v>
      </c>
      <c r="E139" t="s">
        <v>17</v>
      </c>
      <c r="F139" s="1">
        <v>42406.673611111109</v>
      </c>
      <c r="G139" t="s">
        <v>312</v>
      </c>
      <c r="H139" t="s">
        <v>54</v>
      </c>
      <c r="I139" t="s">
        <v>313</v>
      </c>
      <c r="J139">
        <v>16</v>
      </c>
      <c r="K139" t="s">
        <v>68</v>
      </c>
      <c r="L139" t="s">
        <v>50</v>
      </c>
      <c r="M139" t="s">
        <v>57</v>
      </c>
      <c r="N139" t="s">
        <v>24</v>
      </c>
      <c r="O139" t="s">
        <v>44</v>
      </c>
    </row>
    <row r="140" spans="1:15" x14ac:dyDescent="0.35">
      <c r="A140">
        <v>771796</v>
      </c>
      <c r="B140" t="s">
        <v>15</v>
      </c>
      <c r="C140" t="s">
        <v>16</v>
      </c>
      <c r="D140">
        <v>35</v>
      </c>
      <c r="E140" t="s">
        <v>17</v>
      </c>
      <c r="F140" s="1">
        <v>42406.679166666669</v>
      </c>
      <c r="G140" t="s">
        <v>314</v>
      </c>
      <c r="H140" t="s">
        <v>71</v>
      </c>
      <c r="I140" t="s">
        <v>315</v>
      </c>
      <c r="J140">
        <v>16</v>
      </c>
      <c r="K140" t="s">
        <v>68</v>
      </c>
      <c r="L140" t="s">
        <v>50</v>
      </c>
      <c r="M140" t="s">
        <v>57</v>
      </c>
      <c r="N140" t="s">
        <v>24</v>
      </c>
      <c r="O140" t="s">
        <v>44</v>
      </c>
    </row>
    <row r="141" spans="1:15" x14ac:dyDescent="0.35">
      <c r="A141">
        <v>771796</v>
      </c>
      <c r="B141" t="s">
        <v>15</v>
      </c>
      <c r="C141" t="s">
        <v>16</v>
      </c>
      <c r="D141">
        <v>35</v>
      </c>
      <c r="E141" t="s">
        <v>17</v>
      </c>
      <c r="F141" s="1">
        <v>42456.706944444442</v>
      </c>
      <c r="G141" t="s">
        <v>316</v>
      </c>
      <c r="H141" t="s">
        <v>71</v>
      </c>
      <c r="I141" t="s">
        <v>317</v>
      </c>
      <c r="J141">
        <v>16</v>
      </c>
      <c r="K141" t="s">
        <v>56</v>
      </c>
      <c r="L141" t="s">
        <v>31</v>
      </c>
      <c r="M141" t="s">
        <v>57</v>
      </c>
      <c r="N141" t="s">
        <v>24</v>
      </c>
      <c r="O141" t="s">
        <v>44</v>
      </c>
    </row>
    <row r="142" spans="1:15" x14ac:dyDescent="0.35">
      <c r="A142">
        <v>771796</v>
      </c>
      <c r="B142" t="s">
        <v>15</v>
      </c>
      <c r="C142" t="s">
        <v>16</v>
      </c>
      <c r="D142">
        <v>35</v>
      </c>
      <c r="E142" t="s">
        <v>17</v>
      </c>
      <c r="F142" s="1">
        <v>42455.708333333336</v>
      </c>
      <c r="G142" t="s">
        <v>318</v>
      </c>
      <c r="H142" t="s">
        <v>71</v>
      </c>
      <c r="I142" t="s">
        <v>319</v>
      </c>
      <c r="J142">
        <v>17</v>
      </c>
      <c r="K142" t="s">
        <v>68</v>
      </c>
      <c r="L142" t="s">
        <v>31</v>
      </c>
      <c r="M142" t="s">
        <v>57</v>
      </c>
      <c r="N142" t="s">
        <v>24</v>
      </c>
      <c r="O142" t="s">
        <v>25</v>
      </c>
    </row>
    <row r="143" spans="1:15" x14ac:dyDescent="0.35">
      <c r="A143">
        <v>889840</v>
      </c>
      <c r="B143" t="s">
        <v>15</v>
      </c>
      <c r="C143" t="s">
        <v>78</v>
      </c>
      <c r="D143">
        <v>31</v>
      </c>
      <c r="E143" t="s">
        <v>75</v>
      </c>
      <c r="F143" s="1">
        <v>42449.845833333333</v>
      </c>
      <c r="G143" t="s">
        <v>76</v>
      </c>
      <c r="H143" t="s">
        <v>71</v>
      </c>
      <c r="I143" t="s">
        <v>320</v>
      </c>
      <c r="J143">
        <v>20</v>
      </c>
      <c r="K143" t="s">
        <v>56</v>
      </c>
      <c r="L143" t="s">
        <v>31</v>
      </c>
      <c r="M143" t="s">
        <v>57</v>
      </c>
      <c r="N143" t="s">
        <v>24</v>
      </c>
      <c r="O143" t="s">
        <v>25</v>
      </c>
    </row>
    <row r="144" spans="1:15" x14ac:dyDescent="0.35">
      <c r="A144">
        <v>2368371</v>
      </c>
      <c r="B144" t="s">
        <v>15</v>
      </c>
      <c r="C144" t="s">
        <v>16</v>
      </c>
      <c r="D144">
        <v>44</v>
      </c>
      <c r="E144" t="s">
        <v>17</v>
      </c>
      <c r="F144" s="1">
        <v>42455.434027777781</v>
      </c>
      <c r="G144" t="s">
        <v>321</v>
      </c>
      <c r="H144" t="s">
        <v>71</v>
      </c>
      <c r="I144" t="s">
        <v>322</v>
      </c>
      <c r="J144">
        <v>10</v>
      </c>
      <c r="K144" t="s">
        <v>68</v>
      </c>
      <c r="L144" t="s">
        <v>31</v>
      </c>
      <c r="M144" t="s">
        <v>57</v>
      </c>
      <c r="N144" t="s">
        <v>93</v>
      </c>
      <c r="O144" t="s">
        <v>33</v>
      </c>
    </row>
    <row r="145" spans="1:15" x14ac:dyDescent="0.35">
      <c r="A145">
        <v>617535</v>
      </c>
      <c r="B145" t="s">
        <v>15</v>
      </c>
      <c r="C145" t="s">
        <v>34</v>
      </c>
      <c r="D145">
        <v>40</v>
      </c>
      <c r="E145" t="s">
        <v>35</v>
      </c>
      <c r="F145" s="1">
        <v>42380.838888888888</v>
      </c>
      <c r="G145" t="s">
        <v>105</v>
      </c>
      <c r="H145" t="s">
        <v>106</v>
      </c>
      <c r="I145" t="s">
        <v>323</v>
      </c>
      <c r="J145">
        <v>20</v>
      </c>
      <c r="K145" t="s">
        <v>21</v>
      </c>
      <c r="L145" t="s">
        <v>22</v>
      </c>
      <c r="M145" t="s">
        <v>23</v>
      </c>
      <c r="N145" t="s">
        <v>93</v>
      </c>
      <c r="O145" t="s">
        <v>25</v>
      </c>
    </row>
    <row r="146" spans="1:15" x14ac:dyDescent="0.35">
      <c r="A146">
        <v>617961</v>
      </c>
      <c r="B146" t="s">
        <v>15</v>
      </c>
      <c r="C146" t="s">
        <v>34</v>
      </c>
      <c r="D146">
        <v>30</v>
      </c>
      <c r="E146" t="s">
        <v>75</v>
      </c>
      <c r="F146" s="1">
        <v>42400.92083333333</v>
      </c>
      <c r="G146" t="s">
        <v>324</v>
      </c>
      <c r="H146" t="s">
        <v>51</v>
      </c>
      <c r="I146" t="s">
        <v>325</v>
      </c>
      <c r="J146">
        <v>22</v>
      </c>
      <c r="K146" t="s">
        <v>56</v>
      </c>
      <c r="L146" t="s">
        <v>22</v>
      </c>
      <c r="M146" t="s">
        <v>57</v>
      </c>
      <c r="N146" t="s">
        <v>24</v>
      </c>
      <c r="O146" t="s">
        <v>104</v>
      </c>
    </row>
    <row r="147" spans="1:15" x14ac:dyDescent="0.35">
      <c r="A147">
        <v>771797</v>
      </c>
      <c r="B147" t="s">
        <v>15</v>
      </c>
      <c r="C147" t="s">
        <v>26</v>
      </c>
      <c r="D147">
        <v>35</v>
      </c>
      <c r="E147" t="s">
        <v>35</v>
      </c>
      <c r="F147" s="1">
        <v>42403.563194444447</v>
      </c>
      <c r="G147" t="s">
        <v>326</v>
      </c>
      <c r="H147" t="s">
        <v>86</v>
      </c>
      <c r="I147" t="s">
        <v>327</v>
      </c>
      <c r="J147">
        <v>13</v>
      </c>
      <c r="K147" t="s">
        <v>30</v>
      </c>
      <c r="L147" t="s">
        <v>50</v>
      </c>
      <c r="M147" t="s">
        <v>23</v>
      </c>
      <c r="N147" t="s">
        <v>24</v>
      </c>
      <c r="O147" t="s">
        <v>44</v>
      </c>
    </row>
    <row r="148" spans="1:15" x14ac:dyDescent="0.35">
      <c r="A148">
        <v>67584</v>
      </c>
      <c r="B148" t="s">
        <v>15</v>
      </c>
      <c r="C148" t="s">
        <v>39</v>
      </c>
      <c r="D148">
        <v>58</v>
      </c>
      <c r="E148" t="s">
        <v>17</v>
      </c>
      <c r="F148" s="1">
        <v>42387.62777777778</v>
      </c>
      <c r="G148" t="s">
        <v>328</v>
      </c>
      <c r="H148" t="s">
        <v>71</v>
      </c>
      <c r="I148" t="s">
        <v>329</v>
      </c>
      <c r="J148">
        <v>15</v>
      </c>
      <c r="K148" t="s">
        <v>21</v>
      </c>
      <c r="L148" t="s">
        <v>22</v>
      </c>
      <c r="M148" t="s">
        <v>23</v>
      </c>
      <c r="N148" t="s">
        <v>43</v>
      </c>
      <c r="O148" t="s">
        <v>44</v>
      </c>
    </row>
    <row r="149" spans="1:15" x14ac:dyDescent="0.35">
      <c r="A149">
        <v>808936</v>
      </c>
      <c r="B149" t="s">
        <v>15</v>
      </c>
      <c r="C149" t="s">
        <v>39</v>
      </c>
      <c r="D149">
        <v>23</v>
      </c>
      <c r="E149" t="s">
        <v>35</v>
      </c>
      <c r="F149" s="1">
        <v>42453.521527777775</v>
      </c>
      <c r="G149" t="s">
        <v>330</v>
      </c>
      <c r="H149" t="s">
        <v>71</v>
      </c>
      <c r="I149" t="s">
        <v>331</v>
      </c>
      <c r="J149">
        <v>12</v>
      </c>
      <c r="K149" t="s">
        <v>63</v>
      </c>
      <c r="L149" t="s">
        <v>31</v>
      </c>
      <c r="M149" t="s">
        <v>23</v>
      </c>
      <c r="N149" t="s">
        <v>69</v>
      </c>
      <c r="O149" t="s">
        <v>44</v>
      </c>
    </row>
    <row r="150" spans="1:15" x14ac:dyDescent="0.35">
      <c r="A150">
        <v>808936</v>
      </c>
      <c r="B150" t="s">
        <v>15</v>
      </c>
      <c r="C150" t="s">
        <v>39</v>
      </c>
      <c r="D150">
        <v>23</v>
      </c>
      <c r="E150" t="s">
        <v>35</v>
      </c>
      <c r="F150" s="1">
        <v>42418.434027777781</v>
      </c>
      <c r="G150" t="s">
        <v>76</v>
      </c>
      <c r="H150" t="s">
        <v>71</v>
      </c>
      <c r="I150" t="s">
        <v>332</v>
      </c>
      <c r="J150">
        <v>10</v>
      </c>
      <c r="K150" t="s">
        <v>63</v>
      </c>
      <c r="L150" t="s">
        <v>50</v>
      </c>
      <c r="M150" t="s">
        <v>23</v>
      </c>
      <c r="N150" t="s">
        <v>69</v>
      </c>
      <c r="O150" t="s">
        <v>33</v>
      </c>
    </row>
    <row r="151" spans="1:15" x14ac:dyDescent="0.35">
      <c r="A151">
        <v>590480</v>
      </c>
      <c r="B151" t="s">
        <v>38</v>
      </c>
      <c r="C151" t="s">
        <v>34</v>
      </c>
      <c r="D151">
        <v>10</v>
      </c>
      <c r="E151" t="s">
        <v>17</v>
      </c>
      <c r="F151" s="1">
        <v>42373.674305555556</v>
      </c>
      <c r="G151" t="s">
        <v>333</v>
      </c>
      <c r="H151" t="s">
        <v>106</v>
      </c>
      <c r="I151" t="s">
        <v>334</v>
      </c>
      <c r="J151">
        <v>16</v>
      </c>
      <c r="K151" t="s">
        <v>21</v>
      </c>
      <c r="L151" t="s">
        <v>22</v>
      </c>
      <c r="M151" t="s">
        <v>23</v>
      </c>
      <c r="N151" t="s">
        <v>32</v>
      </c>
      <c r="O151" t="s">
        <v>44</v>
      </c>
    </row>
    <row r="152" spans="1:15" x14ac:dyDescent="0.35">
      <c r="A152">
        <v>831713</v>
      </c>
      <c r="B152" t="s">
        <v>38</v>
      </c>
      <c r="C152" t="s">
        <v>78</v>
      </c>
      <c r="D152">
        <v>26</v>
      </c>
      <c r="E152" t="s">
        <v>335</v>
      </c>
      <c r="F152" s="1">
        <v>42443.297222222223</v>
      </c>
      <c r="G152" t="s">
        <v>336</v>
      </c>
      <c r="H152" t="s">
        <v>19</v>
      </c>
      <c r="I152" t="s">
        <v>337</v>
      </c>
      <c r="J152">
        <v>7</v>
      </c>
      <c r="K152" t="s">
        <v>21</v>
      </c>
      <c r="L152" t="s">
        <v>31</v>
      </c>
      <c r="M152" t="s">
        <v>23</v>
      </c>
      <c r="N152" t="s">
        <v>69</v>
      </c>
      <c r="O152" t="s">
        <v>33</v>
      </c>
    </row>
    <row r="153" spans="1:15" x14ac:dyDescent="0.35">
      <c r="A153">
        <v>831713</v>
      </c>
      <c r="B153" t="s">
        <v>38</v>
      </c>
      <c r="C153" t="s">
        <v>78</v>
      </c>
      <c r="D153">
        <v>26</v>
      </c>
      <c r="E153" t="s">
        <v>335</v>
      </c>
      <c r="F153" s="1">
        <v>42436.614583333336</v>
      </c>
      <c r="G153" t="s">
        <v>338</v>
      </c>
      <c r="H153" t="s">
        <v>19</v>
      </c>
      <c r="I153" t="s">
        <v>339</v>
      </c>
      <c r="J153">
        <v>14</v>
      </c>
      <c r="K153" t="s">
        <v>21</v>
      </c>
      <c r="L153" t="s">
        <v>31</v>
      </c>
      <c r="M153" t="s">
        <v>23</v>
      </c>
      <c r="N153" t="s">
        <v>69</v>
      </c>
      <c r="O153" t="s">
        <v>44</v>
      </c>
    </row>
    <row r="154" spans="1:15" x14ac:dyDescent="0.35">
      <c r="A154">
        <v>817216</v>
      </c>
      <c r="B154" t="s">
        <v>15</v>
      </c>
      <c r="C154" t="s">
        <v>39</v>
      </c>
      <c r="D154">
        <v>31</v>
      </c>
      <c r="E154" t="s">
        <v>64</v>
      </c>
      <c r="F154" s="1">
        <v>42424.664583333331</v>
      </c>
      <c r="G154" t="s">
        <v>340</v>
      </c>
      <c r="H154" t="s">
        <v>28</v>
      </c>
      <c r="I154" t="s">
        <v>341</v>
      </c>
      <c r="J154">
        <v>15</v>
      </c>
      <c r="K154" t="s">
        <v>30</v>
      </c>
      <c r="L154" t="s">
        <v>50</v>
      </c>
      <c r="M154" t="s">
        <v>23</v>
      </c>
      <c r="N154" t="s">
        <v>24</v>
      </c>
      <c r="O154" t="s">
        <v>44</v>
      </c>
    </row>
    <row r="155" spans="1:15" x14ac:dyDescent="0.35">
      <c r="A155">
        <v>817216</v>
      </c>
      <c r="B155" t="s">
        <v>15</v>
      </c>
      <c r="C155" t="s">
        <v>39</v>
      </c>
      <c r="D155">
        <v>31</v>
      </c>
      <c r="E155" t="s">
        <v>64</v>
      </c>
      <c r="F155" s="1">
        <v>42425.884027777778</v>
      </c>
      <c r="G155" t="s">
        <v>76</v>
      </c>
      <c r="H155" t="s">
        <v>225</v>
      </c>
      <c r="I155" t="s">
        <v>342</v>
      </c>
      <c r="J155">
        <v>21</v>
      </c>
      <c r="K155" t="s">
        <v>63</v>
      </c>
      <c r="L155" t="s">
        <v>50</v>
      </c>
      <c r="M155" t="s">
        <v>23</v>
      </c>
      <c r="N155" t="s">
        <v>24</v>
      </c>
      <c r="O155" t="s">
        <v>25</v>
      </c>
    </row>
    <row r="156" spans="1:15" x14ac:dyDescent="0.35">
      <c r="A156">
        <v>2406478</v>
      </c>
      <c r="B156" t="s">
        <v>15</v>
      </c>
      <c r="C156" t="s">
        <v>343</v>
      </c>
      <c r="D156">
        <v>39</v>
      </c>
      <c r="E156" t="s">
        <v>45</v>
      </c>
      <c r="F156" s="1">
        <v>42455.576388888891</v>
      </c>
      <c r="G156" t="s">
        <v>344</v>
      </c>
      <c r="H156" t="s">
        <v>71</v>
      </c>
      <c r="I156" t="s">
        <v>345</v>
      </c>
      <c r="J156">
        <v>13</v>
      </c>
      <c r="K156" t="s">
        <v>68</v>
      </c>
      <c r="L156" t="s">
        <v>31</v>
      </c>
      <c r="M156" t="s">
        <v>57</v>
      </c>
      <c r="N156" t="s">
        <v>93</v>
      </c>
      <c r="O156" t="s">
        <v>44</v>
      </c>
    </row>
    <row r="157" spans="1:15" x14ac:dyDescent="0.35">
      <c r="A157">
        <v>793592</v>
      </c>
      <c r="B157" t="s">
        <v>26</v>
      </c>
      <c r="C157" t="s">
        <v>26</v>
      </c>
      <c r="D157">
        <v>0</v>
      </c>
      <c r="E157" t="s">
        <v>26</v>
      </c>
      <c r="F157" s="1">
        <v>42450.523611111108</v>
      </c>
      <c r="G157" t="s">
        <v>346</v>
      </c>
      <c r="H157" t="s">
        <v>54</v>
      </c>
      <c r="I157" t="s">
        <v>347</v>
      </c>
      <c r="J157">
        <v>12</v>
      </c>
      <c r="K157" t="s">
        <v>21</v>
      </c>
      <c r="L157" t="s">
        <v>31</v>
      </c>
      <c r="M157" t="s">
        <v>23</v>
      </c>
      <c r="N157" t="s">
        <v>32</v>
      </c>
      <c r="O157" t="s">
        <v>44</v>
      </c>
    </row>
    <row r="158" spans="1:15" x14ac:dyDescent="0.35">
      <c r="A158">
        <v>904063</v>
      </c>
      <c r="B158" t="s">
        <v>15</v>
      </c>
      <c r="C158" t="s">
        <v>78</v>
      </c>
      <c r="D158">
        <v>34</v>
      </c>
      <c r="E158" t="s">
        <v>35</v>
      </c>
      <c r="F158" s="1">
        <v>42455.918055555558</v>
      </c>
      <c r="G158" t="s">
        <v>253</v>
      </c>
      <c r="H158" t="s">
        <v>66</v>
      </c>
      <c r="I158" t="s">
        <v>348</v>
      </c>
      <c r="J158">
        <v>22</v>
      </c>
      <c r="K158" t="s">
        <v>68</v>
      </c>
      <c r="L158" t="s">
        <v>31</v>
      </c>
      <c r="M158" t="s">
        <v>57</v>
      </c>
      <c r="N158" t="s">
        <v>24</v>
      </c>
      <c r="O158" t="s">
        <v>104</v>
      </c>
    </row>
    <row r="159" spans="1:15" x14ac:dyDescent="0.35">
      <c r="A159">
        <v>904063</v>
      </c>
      <c r="B159" t="s">
        <v>15</v>
      </c>
      <c r="C159" t="s">
        <v>78</v>
      </c>
      <c r="D159">
        <v>34</v>
      </c>
      <c r="E159" t="s">
        <v>35</v>
      </c>
      <c r="F159" s="1">
        <v>42455.839583333334</v>
      </c>
      <c r="G159" t="s">
        <v>108</v>
      </c>
      <c r="H159" t="s">
        <v>66</v>
      </c>
      <c r="I159" t="s">
        <v>349</v>
      </c>
      <c r="J159">
        <v>20</v>
      </c>
      <c r="K159" t="s">
        <v>68</v>
      </c>
      <c r="L159" t="s">
        <v>31</v>
      </c>
      <c r="M159" t="s">
        <v>57</v>
      </c>
      <c r="N159" t="s">
        <v>24</v>
      </c>
      <c r="O159" t="s">
        <v>25</v>
      </c>
    </row>
    <row r="160" spans="1:15" x14ac:dyDescent="0.35">
      <c r="A160">
        <v>586459</v>
      </c>
      <c r="B160" t="s">
        <v>15</v>
      </c>
      <c r="C160" t="s">
        <v>78</v>
      </c>
      <c r="D160">
        <v>22</v>
      </c>
      <c r="E160" t="s">
        <v>195</v>
      </c>
      <c r="F160" s="1">
        <v>42371.40902777778</v>
      </c>
      <c r="G160" t="s">
        <v>350</v>
      </c>
      <c r="H160" t="s">
        <v>66</v>
      </c>
      <c r="I160" t="s">
        <v>351</v>
      </c>
      <c r="J160">
        <v>9</v>
      </c>
      <c r="K160" t="s">
        <v>68</v>
      </c>
      <c r="L160" t="s">
        <v>22</v>
      </c>
      <c r="M160" t="s">
        <v>57</v>
      </c>
      <c r="N160" t="s">
        <v>69</v>
      </c>
      <c r="O160" t="s">
        <v>33</v>
      </c>
    </row>
    <row r="161" spans="1:15" x14ac:dyDescent="0.35">
      <c r="A161">
        <v>791320</v>
      </c>
      <c r="B161" t="s">
        <v>38</v>
      </c>
      <c r="C161" t="s">
        <v>34</v>
      </c>
      <c r="D161">
        <v>37</v>
      </c>
      <c r="E161" t="s">
        <v>64</v>
      </c>
      <c r="F161" s="1">
        <v>42434.539583333331</v>
      </c>
      <c r="G161" t="s">
        <v>233</v>
      </c>
      <c r="H161" t="s">
        <v>28</v>
      </c>
      <c r="I161" t="s">
        <v>352</v>
      </c>
      <c r="J161">
        <v>12</v>
      </c>
      <c r="K161" t="s">
        <v>68</v>
      </c>
      <c r="L161" t="s">
        <v>31</v>
      </c>
      <c r="M161" t="s">
        <v>57</v>
      </c>
      <c r="N161" t="s">
        <v>24</v>
      </c>
      <c r="O161" t="s">
        <v>44</v>
      </c>
    </row>
    <row r="162" spans="1:15" x14ac:dyDescent="0.35">
      <c r="A162">
        <v>791320</v>
      </c>
      <c r="B162" t="s">
        <v>38</v>
      </c>
      <c r="C162" t="s">
        <v>34</v>
      </c>
      <c r="D162">
        <v>37</v>
      </c>
      <c r="E162" t="s">
        <v>64</v>
      </c>
      <c r="F162" s="1">
        <v>42435.397916666669</v>
      </c>
      <c r="G162" t="s">
        <v>353</v>
      </c>
      <c r="H162" t="s">
        <v>28</v>
      </c>
      <c r="I162" t="s">
        <v>354</v>
      </c>
      <c r="J162">
        <v>9</v>
      </c>
      <c r="K162" t="s">
        <v>56</v>
      </c>
      <c r="L162" t="s">
        <v>31</v>
      </c>
      <c r="M162" t="s">
        <v>57</v>
      </c>
      <c r="N162" t="s">
        <v>24</v>
      </c>
      <c r="O162" t="s">
        <v>33</v>
      </c>
    </row>
    <row r="163" spans="1:15" x14ac:dyDescent="0.35">
      <c r="A163">
        <v>791320</v>
      </c>
      <c r="B163" t="s">
        <v>38</v>
      </c>
      <c r="C163" t="s">
        <v>34</v>
      </c>
      <c r="D163">
        <v>37</v>
      </c>
      <c r="E163" t="s">
        <v>64</v>
      </c>
      <c r="F163" s="1">
        <v>42435.355555555558</v>
      </c>
      <c r="G163" t="s">
        <v>355</v>
      </c>
      <c r="H163" t="s">
        <v>28</v>
      </c>
      <c r="I163" t="s">
        <v>356</v>
      </c>
      <c r="J163">
        <v>8</v>
      </c>
      <c r="K163" t="s">
        <v>56</v>
      </c>
      <c r="L163" t="s">
        <v>31</v>
      </c>
      <c r="M163" t="s">
        <v>57</v>
      </c>
      <c r="N163" t="s">
        <v>24</v>
      </c>
      <c r="O163" t="s">
        <v>33</v>
      </c>
    </row>
    <row r="164" spans="1:15" x14ac:dyDescent="0.35">
      <c r="A164">
        <v>771802</v>
      </c>
      <c r="B164" t="s">
        <v>15</v>
      </c>
      <c r="C164" t="s">
        <v>16</v>
      </c>
      <c r="D164">
        <v>43</v>
      </c>
      <c r="E164" t="s">
        <v>17</v>
      </c>
      <c r="F164" s="1">
        <v>42371.529166666667</v>
      </c>
      <c r="G164" t="s">
        <v>357</v>
      </c>
      <c r="H164" t="s">
        <v>51</v>
      </c>
      <c r="I164" t="s">
        <v>358</v>
      </c>
      <c r="J164">
        <v>12</v>
      </c>
      <c r="K164" t="s">
        <v>68</v>
      </c>
      <c r="L164" t="s">
        <v>22</v>
      </c>
      <c r="M164" t="s">
        <v>57</v>
      </c>
      <c r="N164" t="s">
        <v>93</v>
      </c>
      <c r="O164" t="s">
        <v>44</v>
      </c>
    </row>
    <row r="165" spans="1:15" x14ac:dyDescent="0.35">
      <c r="A165">
        <v>771802</v>
      </c>
      <c r="B165" t="s">
        <v>15</v>
      </c>
      <c r="C165" t="s">
        <v>16</v>
      </c>
      <c r="D165">
        <v>43</v>
      </c>
      <c r="E165" t="s">
        <v>17</v>
      </c>
      <c r="F165" s="1">
        <v>42399.59097222222</v>
      </c>
      <c r="G165" t="s">
        <v>359</v>
      </c>
      <c r="H165" t="s">
        <v>71</v>
      </c>
      <c r="I165" t="s">
        <v>360</v>
      </c>
      <c r="J165">
        <v>14</v>
      </c>
      <c r="K165" t="s">
        <v>68</v>
      </c>
      <c r="L165" t="s">
        <v>22</v>
      </c>
      <c r="M165" t="s">
        <v>57</v>
      </c>
      <c r="N165" t="s">
        <v>93</v>
      </c>
      <c r="O165" t="s">
        <v>44</v>
      </c>
    </row>
    <row r="166" spans="1:15" x14ac:dyDescent="0.35">
      <c r="A166">
        <v>771802</v>
      </c>
      <c r="B166" t="s">
        <v>15</v>
      </c>
      <c r="C166" t="s">
        <v>16</v>
      </c>
      <c r="D166">
        <v>43</v>
      </c>
      <c r="E166" t="s">
        <v>17</v>
      </c>
      <c r="F166" s="1">
        <v>42370.475694444445</v>
      </c>
      <c r="G166" t="s">
        <v>361</v>
      </c>
      <c r="H166" t="s">
        <v>116</v>
      </c>
      <c r="I166" t="s">
        <v>362</v>
      </c>
      <c r="J166">
        <v>11</v>
      </c>
      <c r="K166" t="s">
        <v>42</v>
      </c>
      <c r="L166" t="s">
        <v>22</v>
      </c>
      <c r="M166" t="s">
        <v>23</v>
      </c>
      <c r="N166" t="s">
        <v>93</v>
      </c>
      <c r="O166" t="s">
        <v>44</v>
      </c>
    </row>
    <row r="167" spans="1:15" x14ac:dyDescent="0.35">
      <c r="A167">
        <v>771802</v>
      </c>
      <c r="B167" t="s">
        <v>15</v>
      </c>
      <c r="C167" t="s">
        <v>16</v>
      </c>
      <c r="D167">
        <v>43</v>
      </c>
      <c r="E167" t="s">
        <v>17</v>
      </c>
      <c r="F167" s="1">
        <v>42377.618055555555</v>
      </c>
      <c r="G167" t="s">
        <v>363</v>
      </c>
      <c r="H167" t="s">
        <v>71</v>
      </c>
      <c r="I167" t="s">
        <v>364</v>
      </c>
      <c r="J167">
        <v>14</v>
      </c>
      <c r="K167" t="s">
        <v>42</v>
      </c>
      <c r="L167" t="s">
        <v>22</v>
      </c>
      <c r="M167" t="s">
        <v>23</v>
      </c>
      <c r="N167" t="s">
        <v>93</v>
      </c>
      <c r="O167" t="s">
        <v>44</v>
      </c>
    </row>
    <row r="168" spans="1:15" x14ac:dyDescent="0.35">
      <c r="A168">
        <v>771802</v>
      </c>
      <c r="B168" t="s">
        <v>15</v>
      </c>
      <c r="C168" t="s">
        <v>16</v>
      </c>
      <c r="D168">
        <v>43</v>
      </c>
      <c r="E168" t="s">
        <v>17</v>
      </c>
      <c r="F168" s="1">
        <v>42370.109027777777</v>
      </c>
      <c r="G168" t="s">
        <v>145</v>
      </c>
      <c r="H168" t="s">
        <v>116</v>
      </c>
      <c r="I168" t="s">
        <v>365</v>
      </c>
      <c r="J168">
        <v>2</v>
      </c>
      <c r="K168" t="s">
        <v>42</v>
      </c>
      <c r="L168" t="s">
        <v>22</v>
      </c>
      <c r="M168" t="s">
        <v>23</v>
      </c>
      <c r="N168" t="s">
        <v>93</v>
      </c>
      <c r="O168" t="s">
        <v>58</v>
      </c>
    </row>
    <row r="169" spans="1:15" x14ac:dyDescent="0.35">
      <c r="A169">
        <v>771802</v>
      </c>
      <c r="B169" t="s">
        <v>15</v>
      </c>
      <c r="C169" t="s">
        <v>16</v>
      </c>
      <c r="D169">
        <v>43</v>
      </c>
      <c r="E169" t="s">
        <v>17</v>
      </c>
      <c r="F169" s="1">
        <v>42412.70208333333</v>
      </c>
      <c r="G169" t="s">
        <v>366</v>
      </c>
      <c r="H169" t="s">
        <v>71</v>
      </c>
      <c r="I169" t="s">
        <v>367</v>
      </c>
      <c r="J169">
        <v>16</v>
      </c>
      <c r="K169" t="s">
        <v>42</v>
      </c>
      <c r="L169" t="s">
        <v>50</v>
      </c>
      <c r="M169" t="s">
        <v>23</v>
      </c>
      <c r="N169" t="s">
        <v>93</v>
      </c>
      <c r="O169" t="s">
        <v>44</v>
      </c>
    </row>
    <row r="170" spans="1:15" x14ac:dyDescent="0.35">
      <c r="A170">
        <v>808941</v>
      </c>
      <c r="B170" t="s">
        <v>15</v>
      </c>
      <c r="C170" t="s">
        <v>16</v>
      </c>
      <c r="D170">
        <v>36</v>
      </c>
      <c r="E170" t="s">
        <v>17</v>
      </c>
      <c r="F170" s="1">
        <v>42430.020833333336</v>
      </c>
      <c r="G170" t="s">
        <v>326</v>
      </c>
      <c r="H170" t="s">
        <v>86</v>
      </c>
      <c r="I170" t="s">
        <v>368</v>
      </c>
      <c r="J170">
        <v>0</v>
      </c>
      <c r="K170" t="s">
        <v>49</v>
      </c>
      <c r="L170" t="s">
        <v>31</v>
      </c>
      <c r="M170" t="s">
        <v>23</v>
      </c>
      <c r="N170" t="s">
        <v>24</v>
      </c>
      <c r="O170" t="s">
        <v>58</v>
      </c>
    </row>
    <row r="171" spans="1:15" x14ac:dyDescent="0.35">
      <c r="A171">
        <v>600713</v>
      </c>
      <c r="B171" t="s">
        <v>15</v>
      </c>
      <c r="C171" t="s">
        <v>78</v>
      </c>
      <c r="D171">
        <v>31</v>
      </c>
      <c r="E171" t="s">
        <v>64</v>
      </c>
      <c r="F171" s="1">
        <v>42370.605555555558</v>
      </c>
      <c r="G171" t="s">
        <v>369</v>
      </c>
      <c r="H171" t="s">
        <v>54</v>
      </c>
      <c r="I171" t="s">
        <v>370</v>
      </c>
      <c r="J171">
        <v>14</v>
      </c>
      <c r="K171" t="s">
        <v>42</v>
      </c>
      <c r="L171" t="s">
        <v>22</v>
      </c>
      <c r="M171" t="s">
        <v>23</v>
      </c>
      <c r="N171" t="s">
        <v>24</v>
      </c>
      <c r="O171" t="s">
        <v>44</v>
      </c>
    </row>
    <row r="172" spans="1:15" x14ac:dyDescent="0.35">
      <c r="A172">
        <v>600713</v>
      </c>
      <c r="B172" t="s">
        <v>15</v>
      </c>
      <c r="C172" t="s">
        <v>78</v>
      </c>
      <c r="D172">
        <v>31</v>
      </c>
      <c r="E172" t="s">
        <v>64</v>
      </c>
      <c r="F172" s="1">
        <v>42382.602083333331</v>
      </c>
      <c r="G172" t="s">
        <v>371</v>
      </c>
      <c r="H172" t="s">
        <v>54</v>
      </c>
      <c r="I172" t="s">
        <v>372</v>
      </c>
      <c r="J172">
        <v>14</v>
      </c>
      <c r="K172" t="s">
        <v>30</v>
      </c>
      <c r="L172" t="s">
        <v>22</v>
      </c>
      <c r="M172" t="s">
        <v>23</v>
      </c>
      <c r="N172" t="s">
        <v>24</v>
      </c>
      <c r="O172" t="s">
        <v>44</v>
      </c>
    </row>
    <row r="173" spans="1:15" x14ac:dyDescent="0.35">
      <c r="A173">
        <v>2407123</v>
      </c>
      <c r="B173" t="s">
        <v>15</v>
      </c>
      <c r="C173" t="s">
        <v>78</v>
      </c>
      <c r="D173">
        <v>24</v>
      </c>
      <c r="E173" t="s">
        <v>75</v>
      </c>
      <c r="F173" s="1">
        <v>42443.319444444445</v>
      </c>
      <c r="G173" t="s">
        <v>373</v>
      </c>
      <c r="H173" t="s">
        <v>51</v>
      </c>
      <c r="I173" t="s">
        <v>374</v>
      </c>
      <c r="J173">
        <v>7</v>
      </c>
      <c r="K173" t="s">
        <v>21</v>
      </c>
      <c r="L173" t="s">
        <v>31</v>
      </c>
      <c r="M173" t="s">
        <v>23</v>
      </c>
      <c r="N173" t="s">
        <v>69</v>
      </c>
      <c r="O173" t="s">
        <v>33</v>
      </c>
    </row>
    <row r="174" spans="1:15" x14ac:dyDescent="0.35">
      <c r="A174">
        <v>2407123</v>
      </c>
      <c r="B174" t="s">
        <v>15</v>
      </c>
      <c r="C174" t="s">
        <v>78</v>
      </c>
      <c r="D174">
        <v>24</v>
      </c>
      <c r="E174" t="s">
        <v>75</v>
      </c>
      <c r="F174" s="1">
        <v>42437.87777777778</v>
      </c>
      <c r="G174" t="s">
        <v>375</v>
      </c>
      <c r="H174" t="s">
        <v>66</v>
      </c>
      <c r="I174" t="s">
        <v>376</v>
      </c>
      <c r="J174">
        <v>21</v>
      </c>
      <c r="K174" t="s">
        <v>49</v>
      </c>
      <c r="L174" t="s">
        <v>31</v>
      </c>
      <c r="M174" t="s">
        <v>23</v>
      </c>
      <c r="N174" t="s">
        <v>69</v>
      </c>
      <c r="O174" t="s">
        <v>25</v>
      </c>
    </row>
    <row r="175" spans="1:15" x14ac:dyDescent="0.35">
      <c r="A175">
        <v>2407123</v>
      </c>
      <c r="B175" t="s">
        <v>15</v>
      </c>
      <c r="C175" t="s">
        <v>78</v>
      </c>
      <c r="D175">
        <v>24</v>
      </c>
      <c r="E175" t="s">
        <v>75</v>
      </c>
      <c r="F175" s="1">
        <v>42435.408333333333</v>
      </c>
      <c r="G175" t="s">
        <v>70</v>
      </c>
      <c r="H175" t="s">
        <v>28</v>
      </c>
      <c r="I175" t="s">
        <v>377</v>
      </c>
      <c r="J175">
        <v>9</v>
      </c>
      <c r="K175" t="s">
        <v>56</v>
      </c>
      <c r="L175" t="s">
        <v>31</v>
      </c>
      <c r="M175" t="s">
        <v>57</v>
      </c>
      <c r="N175" t="s">
        <v>69</v>
      </c>
      <c r="O175" t="s">
        <v>33</v>
      </c>
    </row>
    <row r="176" spans="1:15" x14ac:dyDescent="0.35">
      <c r="A176">
        <v>939600</v>
      </c>
      <c r="B176" t="s">
        <v>15</v>
      </c>
      <c r="C176" t="s">
        <v>78</v>
      </c>
      <c r="D176">
        <v>31</v>
      </c>
      <c r="E176" t="s">
        <v>35</v>
      </c>
      <c r="F176" s="1">
        <v>42448.088194444441</v>
      </c>
      <c r="G176" t="s">
        <v>233</v>
      </c>
      <c r="H176" t="s">
        <v>106</v>
      </c>
      <c r="I176" t="s">
        <v>378</v>
      </c>
      <c r="J176">
        <v>2</v>
      </c>
      <c r="K176" t="s">
        <v>68</v>
      </c>
      <c r="L176" t="s">
        <v>31</v>
      </c>
      <c r="M176" t="s">
        <v>57</v>
      </c>
      <c r="N176" t="s">
        <v>24</v>
      </c>
      <c r="O176" t="s">
        <v>58</v>
      </c>
    </row>
    <row r="177" spans="1:15" x14ac:dyDescent="0.35">
      <c r="A177">
        <v>939600</v>
      </c>
      <c r="B177" t="s">
        <v>15</v>
      </c>
      <c r="C177" t="s">
        <v>78</v>
      </c>
      <c r="D177">
        <v>31</v>
      </c>
      <c r="E177" t="s">
        <v>35</v>
      </c>
      <c r="F177" s="1">
        <v>42449.606944444444</v>
      </c>
      <c r="G177" t="s">
        <v>36</v>
      </c>
      <c r="H177" t="s">
        <v>28</v>
      </c>
      <c r="I177" t="s">
        <v>379</v>
      </c>
      <c r="J177">
        <v>14</v>
      </c>
      <c r="K177" t="s">
        <v>56</v>
      </c>
      <c r="L177" t="s">
        <v>31</v>
      </c>
      <c r="M177" t="s">
        <v>57</v>
      </c>
      <c r="N177" t="s">
        <v>24</v>
      </c>
      <c r="O177" t="s">
        <v>44</v>
      </c>
    </row>
    <row r="178" spans="1:15" x14ac:dyDescent="0.35">
      <c r="A178">
        <v>939600</v>
      </c>
      <c r="B178" t="s">
        <v>15</v>
      </c>
      <c r="C178" t="s">
        <v>78</v>
      </c>
      <c r="D178">
        <v>31</v>
      </c>
      <c r="E178" t="s">
        <v>35</v>
      </c>
      <c r="F178" s="1">
        <v>42449.65</v>
      </c>
      <c r="G178" t="s">
        <v>85</v>
      </c>
      <c r="H178" t="s">
        <v>71</v>
      </c>
      <c r="I178" t="s">
        <v>380</v>
      </c>
      <c r="J178">
        <v>15</v>
      </c>
      <c r="K178" t="s">
        <v>56</v>
      </c>
      <c r="L178" t="s">
        <v>31</v>
      </c>
      <c r="M178" t="s">
        <v>57</v>
      </c>
      <c r="N178" t="s">
        <v>24</v>
      </c>
      <c r="O178" t="s">
        <v>44</v>
      </c>
    </row>
    <row r="179" spans="1:15" x14ac:dyDescent="0.35">
      <c r="A179">
        <v>939602</v>
      </c>
      <c r="B179" t="s">
        <v>15</v>
      </c>
      <c r="C179" t="s">
        <v>16</v>
      </c>
      <c r="D179">
        <v>18</v>
      </c>
      <c r="E179" t="s">
        <v>45</v>
      </c>
      <c r="F179" s="1">
        <v>42451.697916666664</v>
      </c>
      <c r="G179" t="s">
        <v>381</v>
      </c>
      <c r="H179" t="s">
        <v>54</v>
      </c>
      <c r="I179" t="s">
        <v>382</v>
      </c>
      <c r="J179">
        <v>16</v>
      </c>
      <c r="K179" t="s">
        <v>49</v>
      </c>
      <c r="L179" t="s">
        <v>31</v>
      </c>
      <c r="M179" t="s">
        <v>23</v>
      </c>
      <c r="N179" t="s">
        <v>69</v>
      </c>
      <c r="O179" t="s">
        <v>44</v>
      </c>
    </row>
    <row r="180" spans="1:15" x14ac:dyDescent="0.35">
      <c r="A180">
        <v>939602</v>
      </c>
      <c r="B180" t="s">
        <v>15</v>
      </c>
      <c r="C180" t="s">
        <v>16</v>
      </c>
      <c r="D180">
        <v>18</v>
      </c>
      <c r="E180" t="s">
        <v>45</v>
      </c>
      <c r="F180" s="1">
        <v>42447.859722222223</v>
      </c>
      <c r="G180" t="s">
        <v>76</v>
      </c>
      <c r="H180" t="s">
        <v>66</v>
      </c>
      <c r="I180" t="s">
        <v>383</v>
      </c>
      <c r="J180">
        <v>20</v>
      </c>
      <c r="K180" t="s">
        <v>42</v>
      </c>
      <c r="L180" t="s">
        <v>31</v>
      </c>
      <c r="M180" t="s">
        <v>23</v>
      </c>
      <c r="N180" t="s">
        <v>69</v>
      </c>
      <c r="O180" t="s">
        <v>25</v>
      </c>
    </row>
    <row r="181" spans="1:15" x14ac:dyDescent="0.35">
      <c r="A181">
        <v>939602</v>
      </c>
      <c r="B181" t="s">
        <v>15</v>
      </c>
      <c r="C181" t="s">
        <v>16</v>
      </c>
      <c r="D181">
        <v>18</v>
      </c>
      <c r="E181" t="s">
        <v>45</v>
      </c>
      <c r="F181" s="1">
        <v>42447.34652777778</v>
      </c>
      <c r="G181" t="s">
        <v>384</v>
      </c>
      <c r="H181" t="s">
        <v>71</v>
      </c>
      <c r="I181" t="s">
        <v>385</v>
      </c>
      <c r="J181">
        <v>8</v>
      </c>
      <c r="K181" t="s">
        <v>42</v>
      </c>
      <c r="L181" t="s">
        <v>31</v>
      </c>
      <c r="M181" t="s">
        <v>23</v>
      </c>
      <c r="N181" t="s">
        <v>69</v>
      </c>
      <c r="O181" t="s">
        <v>33</v>
      </c>
    </row>
    <row r="182" spans="1:15" x14ac:dyDescent="0.35">
      <c r="A182">
        <v>939602</v>
      </c>
      <c r="B182" t="s">
        <v>15</v>
      </c>
      <c r="C182" t="s">
        <v>16</v>
      </c>
      <c r="D182">
        <v>18</v>
      </c>
      <c r="E182" t="s">
        <v>45</v>
      </c>
      <c r="F182" s="1">
        <v>42447.836805555555</v>
      </c>
      <c r="G182" t="s">
        <v>105</v>
      </c>
      <c r="H182" t="s">
        <v>66</v>
      </c>
      <c r="I182" t="s">
        <v>386</v>
      </c>
      <c r="J182">
        <v>20</v>
      </c>
      <c r="K182" t="s">
        <v>42</v>
      </c>
      <c r="L182" t="s">
        <v>31</v>
      </c>
      <c r="M182" t="s">
        <v>23</v>
      </c>
      <c r="N182" t="s">
        <v>69</v>
      </c>
      <c r="O182" t="s">
        <v>25</v>
      </c>
    </row>
    <row r="183" spans="1:15" x14ac:dyDescent="0.35">
      <c r="A183">
        <v>939602</v>
      </c>
      <c r="B183" t="s">
        <v>15</v>
      </c>
      <c r="C183" t="s">
        <v>16</v>
      </c>
      <c r="D183">
        <v>18</v>
      </c>
      <c r="E183" t="s">
        <v>45</v>
      </c>
      <c r="F183" s="1">
        <v>42449.518750000003</v>
      </c>
      <c r="G183" t="s">
        <v>387</v>
      </c>
      <c r="H183" t="s">
        <v>66</v>
      </c>
      <c r="I183" t="s">
        <v>388</v>
      </c>
      <c r="J183">
        <v>12</v>
      </c>
      <c r="K183" t="s">
        <v>56</v>
      </c>
      <c r="L183" t="s">
        <v>31</v>
      </c>
      <c r="M183" t="s">
        <v>57</v>
      </c>
      <c r="N183" t="s">
        <v>69</v>
      </c>
      <c r="O183" t="s">
        <v>44</v>
      </c>
    </row>
    <row r="184" spans="1:15" x14ac:dyDescent="0.35">
      <c r="A184">
        <v>939602</v>
      </c>
      <c r="B184" t="s">
        <v>15</v>
      </c>
      <c r="C184" t="s">
        <v>16</v>
      </c>
      <c r="D184">
        <v>18</v>
      </c>
      <c r="E184" t="s">
        <v>45</v>
      </c>
      <c r="F184" s="1">
        <v>42457.564583333333</v>
      </c>
      <c r="G184" t="s">
        <v>389</v>
      </c>
      <c r="H184" t="s">
        <v>28</v>
      </c>
      <c r="I184" t="s">
        <v>390</v>
      </c>
      <c r="J184">
        <v>13</v>
      </c>
      <c r="K184" t="s">
        <v>21</v>
      </c>
      <c r="L184" t="s">
        <v>31</v>
      </c>
      <c r="M184" t="s">
        <v>23</v>
      </c>
      <c r="N184" t="s">
        <v>69</v>
      </c>
      <c r="O184" t="s">
        <v>44</v>
      </c>
    </row>
    <row r="185" spans="1:15" x14ac:dyDescent="0.35">
      <c r="A185">
        <v>939602</v>
      </c>
      <c r="B185" t="s">
        <v>15</v>
      </c>
      <c r="C185" t="s">
        <v>16</v>
      </c>
      <c r="D185">
        <v>18</v>
      </c>
      <c r="E185" t="s">
        <v>45</v>
      </c>
      <c r="F185" s="1">
        <v>42457.573611111111</v>
      </c>
      <c r="G185" t="s">
        <v>391</v>
      </c>
      <c r="H185" t="s">
        <v>54</v>
      </c>
      <c r="I185" t="s">
        <v>392</v>
      </c>
      <c r="J185">
        <v>13</v>
      </c>
      <c r="K185" t="s">
        <v>21</v>
      </c>
      <c r="L185" t="s">
        <v>31</v>
      </c>
      <c r="M185" t="s">
        <v>23</v>
      </c>
      <c r="N185" t="s">
        <v>69</v>
      </c>
      <c r="O185" t="s">
        <v>44</v>
      </c>
    </row>
    <row r="186" spans="1:15" x14ac:dyDescent="0.35">
      <c r="A186">
        <v>939602</v>
      </c>
      <c r="B186" t="s">
        <v>15</v>
      </c>
      <c r="C186" t="s">
        <v>16</v>
      </c>
      <c r="D186">
        <v>18</v>
      </c>
      <c r="E186" t="s">
        <v>45</v>
      </c>
      <c r="F186" s="1">
        <v>42454.198611111111</v>
      </c>
      <c r="G186" t="s">
        <v>393</v>
      </c>
      <c r="H186" t="s">
        <v>54</v>
      </c>
      <c r="I186" t="s">
        <v>394</v>
      </c>
      <c r="J186">
        <v>4</v>
      </c>
      <c r="K186" t="s">
        <v>42</v>
      </c>
      <c r="L186" t="s">
        <v>31</v>
      </c>
      <c r="M186" t="s">
        <v>23</v>
      </c>
      <c r="N186" t="s">
        <v>69</v>
      </c>
      <c r="O186" t="s">
        <v>58</v>
      </c>
    </row>
    <row r="187" spans="1:15" x14ac:dyDescent="0.35">
      <c r="A187">
        <v>939602</v>
      </c>
      <c r="B187" t="s">
        <v>15</v>
      </c>
      <c r="C187" t="s">
        <v>16</v>
      </c>
      <c r="D187">
        <v>18</v>
      </c>
      <c r="E187" t="s">
        <v>45</v>
      </c>
      <c r="F187" s="1">
        <v>42454.18472222222</v>
      </c>
      <c r="G187" t="s">
        <v>395</v>
      </c>
      <c r="H187" t="s">
        <v>106</v>
      </c>
      <c r="I187" t="s">
        <v>396</v>
      </c>
      <c r="J187">
        <v>4</v>
      </c>
      <c r="K187" t="s">
        <v>42</v>
      </c>
      <c r="L187" t="s">
        <v>31</v>
      </c>
      <c r="M187" t="s">
        <v>23</v>
      </c>
      <c r="N187" t="s">
        <v>69</v>
      </c>
      <c r="O187" t="s">
        <v>58</v>
      </c>
    </row>
    <row r="188" spans="1:15" x14ac:dyDescent="0.35">
      <c r="A188">
        <v>939602</v>
      </c>
      <c r="B188" t="s">
        <v>15</v>
      </c>
      <c r="C188" t="s">
        <v>16</v>
      </c>
      <c r="D188">
        <v>18</v>
      </c>
      <c r="E188" t="s">
        <v>45</v>
      </c>
      <c r="F188" s="1">
        <v>42458.394444444442</v>
      </c>
      <c r="G188" t="s">
        <v>208</v>
      </c>
      <c r="H188" t="s">
        <v>54</v>
      </c>
      <c r="I188" t="s">
        <v>397</v>
      </c>
      <c r="J188">
        <v>9</v>
      </c>
      <c r="K188" t="s">
        <v>49</v>
      </c>
      <c r="L188" t="s">
        <v>31</v>
      </c>
      <c r="M188" t="s">
        <v>23</v>
      </c>
      <c r="N188" t="s">
        <v>69</v>
      </c>
      <c r="O188" t="s">
        <v>33</v>
      </c>
    </row>
    <row r="189" spans="1:15" x14ac:dyDescent="0.35">
      <c r="A189">
        <v>939602</v>
      </c>
      <c r="B189" t="s">
        <v>15</v>
      </c>
      <c r="C189" t="s">
        <v>16</v>
      </c>
      <c r="D189">
        <v>18</v>
      </c>
      <c r="E189" t="s">
        <v>45</v>
      </c>
      <c r="F189" s="1">
        <v>42450.691666666666</v>
      </c>
      <c r="G189" t="s">
        <v>398</v>
      </c>
      <c r="H189" t="s">
        <v>106</v>
      </c>
      <c r="I189" t="s">
        <v>399</v>
      </c>
      <c r="J189">
        <v>16</v>
      </c>
      <c r="K189" t="s">
        <v>21</v>
      </c>
      <c r="L189" t="s">
        <v>31</v>
      </c>
      <c r="M189" t="s">
        <v>23</v>
      </c>
      <c r="N189" t="s">
        <v>69</v>
      </c>
      <c r="O189" t="s">
        <v>44</v>
      </c>
    </row>
    <row r="190" spans="1:15" x14ac:dyDescent="0.35">
      <c r="A190">
        <v>866315</v>
      </c>
      <c r="B190" t="s">
        <v>15</v>
      </c>
      <c r="C190" t="s">
        <v>78</v>
      </c>
      <c r="D190">
        <v>35</v>
      </c>
      <c r="E190" t="s">
        <v>35</v>
      </c>
      <c r="F190" s="1">
        <v>42446.938888888886</v>
      </c>
      <c r="G190" t="s">
        <v>244</v>
      </c>
      <c r="H190" t="s">
        <v>51</v>
      </c>
      <c r="I190" t="s">
        <v>400</v>
      </c>
      <c r="J190">
        <v>22</v>
      </c>
      <c r="K190" t="s">
        <v>63</v>
      </c>
      <c r="L190" t="s">
        <v>31</v>
      </c>
      <c r="M190" t="s">
        <v>23</v>
      </c>
      <c r="N190" t="s">
        <v>24</v>
      </c>
      <c r="O190" t="s">
        <v>104</v>
      </c>
    </row>
    <row r="191" spans="1:15" x14ac:dyDescent="0.35">
      <c r="A191">
        <v>939603</v>
      </c>
      <c r="B191" t="s">
        <v>15</v>
      </c>
      <c r="C191" t="s">
        <v>34</v>
      </c>
      <c r="D191">
        <v>30</v>
      </c>
      <c r="E191" t="s">
        <v>134</v>
      </c>
      <c r="F191" s="1">
        <v>42459.365972222222</v>
      </c>
      <c r="G191" t="s">
        <v>401</v>
      </c>
      <c r="H191" t="s">
        <v>28</v>
      </c>
      <c r="I191" t="s">
        <v>402</v>
      </c>
      <c r="J191">
        <v>8</v>
      </c>
      <c r="K191" t="s">
        <v>30</v>
      </c>
      <c r="L191" t="s">
        <v>31</v>
      </c>
      <c r="M191" t="s">
        <v>23</v>
      </c>
      <c r="N191" t="s">
        <v>24</v>
      </c>
      <c r="O191" t="s">
        <v>33</v>
      </c>
    </row>
    <row r="192" spans="1:15" x14ac:dyDescent="0.35">
      <c r="A192">
        <v>808945</v>
      </c>
      <c r="B192" t="s">
        <v>15</v>
      </c>
      <c r="C192" t="s">
        <v>26</v>
      </c>
      <c r="D192">
        <v>43</v>
      </c>
      <c r="E192" t="s">
        <v>17</v>
      </c>
      <c r="F192" s="1">
        <v>42430.804861111108</v>
      </c>
      <c r="G192" t="s">
        <v>403</v>
      </c>
      <c r="H192" t="s">
        <v>97</v>
      </c>
      <c r="I192" t="s">
        <v>404</v>
      </c>
      <c r="J192">
        <v>19</v>
      </c>
      <c r="K192" t="s">
        <v>49</v>
      </c>
      <c r="L192" t="s">
        <v>31</v>
      </c>
      <c r="M192" t="s">
        <v>23</v>
      </c>
      <c r="N192" t="s">
        <v>93</v>
      </c>
      <c r="O192" t="s">
        <v>25</v>
      </c>
    </row>
    <row r="193" spans="1:15" x14ac:dyDescent="0.35">
      <c r="A193">
        <v>301011</v>
      </c>
      <c r="B193" t="s">
        <v>15</v>
      </c>
      <c r="C193" t="s">
        <v>78</v>
      </c>
      <c r="D193">
        <v>47</v>
      </c>
      <c r="E193" t="s">
        <v>335</v>
      </c>
      <c r="F193" s="1">
        <v>42377.710416666669</v>
      </c>
      <c r="G193" t="s">
        <v>405</v>
      </c>
      <c r="H193" t="s">
        <v>86</v>
      </c>
      <c r="I193" t="s">
        <v>406</v>
      </c>
      <c r="J193">
        <v>17</v>
      </c>
      <c r="K193" t="s">
        <v>42</v>
      </c>
      <c r="L193" t="s">
        <v>22</v>
      </c>
      <c r="M193" t="s">
        <v>23</v>
      </c>
      <c r="N193" t="s">
        <v>93</v>
      </c>
      <c r="O193" t="s">
        <v>25</v>
      </c>
    </row>
    <row r="194" spans="1:15" x14ac:dyDescent="0.35">
      <c r="A194">
        <v>831720</v>
      </c>
      <c r="B194" t="s">
        <v>15</v>
      </c>
      <c r="C194" t="s">
        <v>16</v>
      </c>
      <c r="D194">
        <v>29</v>
      </c>
      <c r="E194" t="s">
        <v>17</v>
      </c>
      <c r="F194" s="1">
        <v>42430.62777777778</v>
      </c>
      <c r="G194" t="s">
        <v>407</v>
      </c>
      <c r="H194" t="s">
        <v>28</v>
      </c>
      <c r="I194" t="s">
        <v>408</v>
      </c>
      <c r="J194">
        <v>15</v>
      </c>
      <c r="K194" t="s">
        <v>49</v>
      </c>
      <c r="L194" t="s">
        <v>31</v>
      </c>
      <c r="M194" t="s">
        <v>23</v>
      </c>
      <c r="N194" t="s">
        <v>24</v>
      </c>
      <c r="O194" t="s">
        <v>44</v>
      </c>
    </row>
    <row r="195" spans="1:15" x14ac:dyDescent="0.35">
      <c r="A195">
        <v>831720</v>
      </c>
      <c r="B195" t="s">
        <v>15</v>
      </c>
      <c r="C195" t="s">
        <v>16</v>
      </c>
      <c r="D195">
        <v>29</v>
      </c>
      <c r="E195" t="s">
        <v>17</v>
      </c>
      <c r="F195" s="1">
        <v>42430.624305555553</v>
      </c>
      <c r="G195" t="s">
        <v>409</v>
      </c>
      <c r="H195" t="s">
        <v>28</v>
      </c>
      <c r="I195" t="s">
        <v>410</v>
      </c>
      <c r="J195">
        <v>14</v>
      </c>
      <c r="K195" t="s">
        <v>49</v>
      </c>
      <c r="L195" t="s">
        <v>31</v>
      </c>
      <c r="M195" t="s">
        <v>23</v>
      </c>
      <c r="N195" t="s">
        <v>24</v>
      </c>
      <c r="O195" t="s">
        <v>44</v>
      </c>
    </row>
    <row r="196" spans="1:15" x14ac:dyDescent="0.35">
      <c r="A196">
        <v>831721</v>
      </c>
      <c r="B196" t="s">
        <v>15</v>
      </c>
      <c r="C196" t="s">
        <v>78</v>
      </c>
      <c r="D196">
        <v>22</v>
      </c>
      <c r="E196" t="s">
        <v>134</v>
      </c>
      <c r="F196" s="1">
        <v>42431.811805555553</v>
      </c>
      <c r="G196" t="s">
        <v>277</v>
      </c>
      <c r="H196" t="s">
        <v>54</v>
      </c>
      <c r="I196" t="s">
        <v>411</v>
      </c>
      <c r="J196">
        <v>19</v>
      </c>
      <c r="K196" t="s">
        <v>30</v>
      </c>
      <c r="L196" t="s">
        <v>31</v>
      </c>
      <c r="M196" t="s">
        <v>23</v>
      </c>
      <c r="N196" t="s">
        <v>69</v>
      </c>
      <c r="O196" t="s">
        <v>25</v>
      </c>
    </row>
    <row r="197" spans="1:15" x14ac:dyDescent="0.35">
      <c r="A197">
        <v>831721</v>
      </c>
      <c r="B197" t="s">
        <v>15</v>
      </c>
      <c r="C197" t="s">
        <v>78</v>
      </c>
      <c r="D197">
        <v>22</v>
      </c>
      <c r="E197" t="s">
        <v>134</v>
      </c>
      <c r="F197" s="1">
        <v>42431.814583333333</v>
      </c>
      <c r="G197" t="s">
        <v>412</v>
      </c>
      <c r="H197" t="s">
        <v>47</v>
      </c>
      <c r="I197" t="s">
        <v>413</v>
      </c>
      <c r="J197">
        <v>19</v>
      </c>
      <c r="K197" t="s">
        <v>30</v>
      </c>
      <c r="L197" t="s">
        <v>31</v>
      </c>
      <c r="M197" t="s">
        <v>23</v>
      </c>
      <c r="N197" t="s">
        <v>69</v>
      </c>
      <c r="O197" t="s">
        <v>25</v>
      </c>
    </row>
    <row r="198" spans="1:15" x14ac:dyDescent="0.35">
      <c r="A198">
        <v>895195</v>
      </c>
      <c r="B198" t="s">
        <v>15</v>
      </c>
      <c r="C198" t="s">
        <v>39</v>
      </c>
      <c r="D198">
        <v>21</v>
      </c>
      <c r="E198" t="s">
        <v>134</v>
      </c>
      <c r="F198" s="1">
        <v>42452.79583333333</v>
      </c>
      <c r="G198" t="s">
        <v>414</v>
      </c>
      <c r="H198" t="s">
        <v>19</v>
      </c>
      <c r="I198" t="s">
        <v>415</v>
      </c>
      <c r="J198">
        <v>19</v>
      </c>
      <c r="K198" t="s">
        <v>30</v>
      </c>
      <c r="L198" t="s">
        <v>31</v>
      </c>
      <c r="M198" t="s">
        <v>23</v>
      </c>
      <c r="N198" t="s">
        <v>69</v>
      </c>
      <c r="O198" t="s">
        <v>25</v>
      </c>
    </row>
    <row r="199" spans="1:15" x14ac:dyDescent="0.35">
      <c r="A199">
        <v>1289864</v>
      </c>
      <c r="B199" t="s">
        <v>15</v>
      </c>
      <c r="C199" t="s">
        <v>34</v>
      </c>
      <c r="D199">
        <v>26</v>
      </c>
      <c r="E199" t="s">
        <v>64</v>
      </c>
      <c r="F199" s="1">
        <v>42395.319444444445</v>
      </c>
      <c r="G199" t="s">
        <v>76</v>
      </c>
      <c r="H199" t="s">
        <v>19</v>
      </c>
      <c r="I199" t="s">
        <v>416</v>
      </c>
      <c r="J199">
        <v>7</v>
      </c>
      <c r="K199" t="s">
        <v>49</v>
      </c>
      <c r="L199" t="s">
        <v>22</v>
      </c>
      <c r="M199" t="s">
        <v>23</v>
      </c>
      <c r="N199" t="s">
        <v>69</v>
      </c>
      <c r="O199" t="s">
        <v>33</v>
      </c>
    </row>
    <row r="200" spans="1:15" x14ac:dyDescent="0.35">
      <c r="A200">
        <v>808948</v>
      </c>
      <c r="B200" t="s">
        <v>38</v>
      </c>
      <c r="C200" t="s">
        <v>16</v>
      </c>
      <c r="D200">
        <v>43</v>
      </c>
      <c r="E200" t="s">
        <v>17</v>
      </c>
      <c r="F200" s="1">
        <v>42411.211111111108</v>
      </c>
      <c r="G200" t="s">
        <v>18</v>
      </c>
      <c r="H200" t="s">
        <v>86</v>
      </c>
      <c r="I200" t="s">
        <v>417</v>
      </c>
      <c r="J200">
        <v>5</v>
      </c>
      <c r="K200" t="s">
        <v>63</v>
      </c>
      <c r="L200" t="s">
        <v>50</v>
      </c>
      <c r="M200" t="s">
        <v>23</v>
      </c>
      <c r="N200" t="s">
        <v>93</v>
      </c>
      <c r="O200" t="s">
        <v>33</v>
      </c>
    </row>
    <row r="201" spans="1:15" x14ac:dyDescent="0.35">
      <c r="A201">
        <v>808948</v>
      </c>
      <c r="B201" t="s">
        <v>38</v>
      </c>
      <c r="C201" t="s">
        <v>16</v>
      </c>
      <c r="D201">
        <v>43</v>
      </c>
      <c r="E201" t="s">
        <v>17</v>
      </c>
      <c r="F201" s="1">
        <v>42418.143055555556</v>
      </c>
      <c r="G201" t="s">
        <v>384</v>
      </c>
      <c r="H201" t="s">
        <v>54</v>
      </c>
      <c r="I201" t="s">
        <v>418</v>
      </c>
      <c r="J201">
        <v>3</v>
      </c>
      <c r="K201" t="s">
        <v>63</v>
      </c>
      <c r="L201" t="s">
        <v>50</v>
      </c>
      <c r="M201" t="s">
        <v>23</v>
      </c>
      <c r="N201" t="s">
        <v>93</v>
      </c>
      <c r="O201" t="s">
        <v>58</v>
      </c>
    </row>
    <row r="202" spans="1:15" x14ac:dyDescent="0.35">
      <c r="A202">
        <v>808948</v>
      </c>
      <c r="B202" t="s">
        <v>38</v>
      </c>
      <c r="C202" t="s">
        <v>16</v>
      </c>
      <c r="D202">
        <v>43</v>
      </c>
      <c r="E202" t="s">
        <v>17</v>
      </c>
      <c r="F202" s="1">
        <v>42418.573611111111</v>
      </c>
      <c r="G202" t="s">
        <v>168</v>
      </c>
      <c r="H202" t="s">
        <v>54</v>
      </c>
      <c r="I202" t="s">
        <v>419</v>
      </c>
      <c r="J202">
        <v>13</v>
      </c>
      <c r="K202" t="s">
        <v>63</v>
      </c>
      <c r="L202" t="s">
        <v>50</v>
      </c>
      <c r="M202" t="s">
        <v>23</v>
      </c>
      <c r="N202" t="s">
        <v>93</v>
      </c>
      <c r="O202" t="s">
        <v>44</v>
      </c>
    </row>
    <row r="203" spans="1:15" x14ac:dyDescent="0.35">
      <c r="A203">
        <v>808948</v>
      </c>
      <c r="B203" t="s">
        <v>38</v>
      </c>
      <c r="C203" t="s">
        <v>16</v>
      </c>
      <c r="D203">
        <v>43</v>
      </c>
      <c r="E203" t="s">
        <v>17</v>
      </c>
      <c r="F203" s="1">
        <v>42424.4</v>
      </c>
      <c r="G203" t="s">
        <v>420</v>
      </c>
      <c r="H203" t="s">
        <v>54</v>
      </c>
      <c r="I203" t="s">
        <v>421</v>
      </c>
      <c r="J203">
        <v>9</v>
      </c>
      <c r="K203" t="s">
        <v>30</v>
      </c>
      <c r="L203" t="s">
        <v>50</v>
      </c>
      <c r="M203" t="s">
        <v>23</v>
      </c>
      <c r="N203" t="s">
        <v>93</v>
      </c>
      <c r="O203" t="s">
        <v>33</v>
      </c>
    </row>
    <row r="204" spans="1:15" x14ac:dyDescent="0.35">
      <c r="A204">
        <v>808948</v>
      </c>
      <c r="B204" t="s">
        <v>38</v>
      </c>
      <c r="C204" t="s">
        <v>16</v>
      </c>
      <c r="D204">
        <v>43</v>
      </c>
      <c r="E204" t="s">
        <v>17</v>
      </c>
      <c r="F204" s="1">
        <v>42447.487500000003</v>
      </c>
      <c r="G204" t="s">
        <v>101</v>
      </c>
      <c r="H204" t="s">
        <v>19</v>
      </c>
      <c r="I204" t="s">
        <v>422</v>
      </c>
      <c r="J204">
        <v>11</v>
      </c>
      <c r="K204" t="s">
        <v>42</v>
      </c>
      <c r="L204" t="s">
        <v>31</v>
      </c>
      <c r="M204" t="s">
        <v>23</v>
      </c>
      <c r="N204" t="s">
        <v>93</v>
      </c>
      <c r="O204" t="s">
        <v>44</v>
      </c>
    </row>
    <row r="205" spans="1:15" x14ac:dyDescent="0.35">
      <c r="A205">
        <v>808948</v>
      </c>
      <c r="B205" t="s">
        <v>38</v>
      </c>
      <c r="C205" t="s">
        <v>16</v>
      </c>
      <c r="D205">
        <v>43</v>
      </c>
      <c r="E205" t="s">
        <v>17</v>
      </c>
      <c r="F205" s="1">
        <v>42447.496527777781</v>
      </c>
      <c r="G205" t="s">
        <v>423</v>
      </c>
      <c r="H205" t="s">
        <v>54</v>
      </c>
      <c r="I205" t="s">
        <v>424</v>
      </c>
      <c r="J205">
        <v>11</v>
      </c>
      <c r="K205" t="s">
        <v>42</v>
      </c>
      <c r="L205" t="s">
        <v>31</v>
      </c>
      <c r="M205" t="s">
        <v>23</v>
      </c>
      <c r="N205" t="s">
        <v>93</v>
      </c>
      <c r="O205" t="s">
        <v>44</v>
      </c>
    </row>
    <row r="206" spans="1:15" x14ac:dyDescent="0.35">
      <c r="A206">
        <v>808948</v>
      </c>
      <c r="B206" t="s">
        <v>38</v>
      </c>
      <c r="C206" t="s">
        <v>16</v>
      </c>
      <c r="D206">
        <v>43</v>
      </c>
      <c r="E206" t="s">
        <v>17</v>
      </c>
      <c r="F206" s="1">
        <v>42410.823611111111</v>
      </c>
      <c r="G206" t="s">
        <v>371</v>
      </c>
      <c r="H206" t="s">
        <v>54</v>
      </c>
      <c r="I206" t="s">
        <v>425</v>
      </c>
      <c r="J206">
        <v>19</v>
      </c>
      <c r="K206" t="s">
        <v>30</v>
      </c>
      <c r="L206" t="s">
        <v>50</v>
      </c>
      <c r="M206" t="s">
        <v>23</v>
      </c>
      <c r="N206" t="s">
        <v>93</v>
      </c>
      <c r="O206" t="s">
        <v>25</v>
      </c>
    </row>
    <row r="207" spans="1:15" x14ac:dyDescent="0.35">
      <c r="A207">
        <v>808948</v>
      </c>
      <c r="B207" t="s">
        <v>38</v>
      </c>
      <c r="C207" t="s">
        <v>16</v>
      </c>
      <c r="D207">
        <v>43</v>
      </c>
      <c r="E207" t="s">
        <v>17</v>
      </c>
      <c r="F207" s="1">
        <v>42449.65902777778</v>
      </c>
      <c r="G207" t="s">
        <v>314</v>
      </c>
      <c r="H207" t="s">
        <v>54</v>
      </c>
      <c r="I207" t="s">
        <v>426</v>
      </c>
      <c r="J207">
        <v>15</v>
      </c>
      <c r="K207" t="s">
        <v>56</v>
      </c>
      <c r="L207" t="s">
        <v>31</v>
      </c>
      <c r="M207" t="s">
        <v>57</v>
      </c>
      <c r="N207" t="s">
        <v>93</v>
      </c>
      <c r="O207" t="s">
        <v>44</v>
      </c>
    </row>
    <row r="208" spans="1:15" x14ac:dyDescent="0.35">
      <c r="A208">
        <v>808948</v>
      </c>
      <c r="B208" t="s">
        <v>38</v>
      </c>
      <c r="C208" t="s">
        <v>16</v>
      </c>
      <c r="D208">
        <v>43</v>
      </c>
      <c r="E208" t="s">
        <v>17</v>
      </c>
      <c r="F208" s="1">
        <v>42423.470833333333</v>
      </c>
      <c r="G208" t="s">
        <v>427</v>
      </c>
      <c r="H208" t="s">
        <v>28</v>
      </c>
      <c r="I208" t="s">
        <v>428</v>
      </c>
      <c r="J208">
        <v>11</v>
      </c>
      <c r="K208" t="s">
        <v>49</v>
      </c>
      <c r="L208" t="s">
        <v>50</v>
      </c>
      <c r="M208" t="s">
        <v>23</v>
      </c>
      <c r="N208" t="s">
        <v>93</v>
      </c>
      <c r="O208" t="s">
        <v>44</v>
      </c>
    </row>
    <row r="209" spans="1:15" x14ac:dyDescent="0.35">
      <c r="A209">
        <v>808948</v>
      </c>
      <c r="B209" t="s">
        <v>38</v>
      </c>
      <c r="C209" t="s">
        <v>16</v>
      </c>
      <c r="D209">
        <v>43</v>
      </c>
      <c r="E209" t="s">
        <v>17</v>
      </c>
      <c r="F209" s="1">
        <v>42413.045138888891</v>
      </c>
      <c r="G209" t="s">
        <v>90</v>
      </c>
      <c r="H209" t="s">
        <v>54</v>
      </c>
      <c r="I209" t="s">
        <v>429</v>
      </c>
      <c r="J209">
        <v>1</v>
      </c>
      <c r="K209" t="s">
        <v>68</v>
      </c>
      <c r="L209" t="s">
        <v>50</v>
      </c>
      <c r="M209" t="s">
        <v>57</v>
      </c>
      <c r="N209" t="s">
        <v>93</v>
      </c>
      <c r="O209" t="s">
        <v>58</v>
      </c>
    </row>
    <row r="210" spans="1:15" x14ac:dyDescent="0.35">
      <c r="A210">
        <v>779395</v>
      </c>
      <c r="B210" t="s">
        <v>15</v>
      </c>
      <c r="C210" t="s">
        <v>16</v>
      </c>
      <c r="D210">
        <v>23</v>
      </c>
      <c r="E210" t="s">
        <v>17</v>
      </c>
      <c r="F210" s="1">
        <v>42414.500694444447</v>
      </c>
      <c r="G210" t="s">
        <v>430</v>
      </c>
      <c r="H210" t="s">
        <v>66</v>
      </c>
      <c r="I210" t="s">
        <v>431</v>
      </c>
      <c r="J210">
        <v>12</v>
      </c>
      <c r="K210" t="s">
        <v>56</v>
      </c>
      <c r="L210" t="s">
        <v>50</v>
      </c>
      <c r="M210" t="s">
        <v>57</v>
      </c>
      <c r="N210" t="s">
        <v>69</v>
      </c>
      <c r="O210" t="s">
        <v>44</v>
      </c>
    </row>
    <row r="211" spans="1:15" x14ac:dyDescent="0.35">
      <c r="A211">
        <v>779395</v>
      </c>
      <c r="B211" t="s">
        <v>15</v>
      </c>
      <c r="C211" t="s">
        <v>16</v>
      </c>
      <c r="D211">
        <v>23</v>
      </c>
      <c r="E211" t="s">
        <v>17</v>
      </c>
      <c r="F211" s="1">
        <v>42410.588194444441</v>
      </c>
      <c r="G211" t="s">
        <v>432</v>
      </c>
      <c r="H211" t="s">
        <v>19</v>
      </c>
      <c r="I211" t="s">
        <v>433</v>
      </c>
      <c r="J211">
        <v>14</v>
      </c>
      <c r="K211" t="s">
        <v>30</v>
      </c>
      <c r="L211" t="s">
        <v>50</v>
      </c>
      <c r="M211" t="s">
        <v>23</v>
      </c>
      <c r="N211" t="s">
        <v>69</v>
      </c>
      <c r="O211" t="s">
        <v>44</v>
      </c>
    </row>
    <row r="212" spans="1:15" x14ac:dyDescent="0.35">
      <c r="A212">
        <v>904090</v>
      </c>
      <c r="B212" t="s">
        <v>15</v>
      </c>
      <c r="C212" t="s">
        <v>26</v>
      </c>
      <c r="D212">
        <v>25</v>
      </c>
      <c r="E212" t="s">
        <v>64</v>
      </c>
      <c r="F212" s="1">
        <v>42452.731249999997</v>
      </c>
      <c r="G212" t="s">
        <v>99</v>
      </c>
      <c r="H212" t="s">
        <v>51</v>
      </c>
      <c r="I212" t="s">
        <v>434</v>
      </c>
      <c r="J212">
        <v>17</v>
      </c>
      <c r="K212" t="s">
        <v>30</v>
      </c>
      <c r="L212" t="s">
        <v>31</v>
      </c>
      <c r="M212" t="s">
        <v>23</v>
      </c>
      <c r="N212" t="s">
        <v>69</v>
      </c>
      <c r="O212" t="s">
        <v>25</v>
      </c>
    </row>
    <row r="213" spans="1:15" x14ac:dyDescent="0.35">
      <c r="A213">
        <v>1106115</v>
      </c>
      <c r="B213" t="s">
        <v>38</v>
      </c>
      <c r="C213" t="s">
        <v>78</v>
      </c>
      <c r="D213">
        <v>26</v>
      </c>
      <c r="E213" t="s">
        <v>17</v>
      </c>
      <c r="F213" s="1">
        <v>42380.67083333333</v>
      </c>
      <c r="G213" t="s">
        <v>435</v>
      </c>
      <c r="H213" t="s">
        <v>106</v>
      </c>
      <c r="I213" t="s">
        <v>436</v>
      </c>
      <c r="J213">
        <v>16</v>
      </c>
      <c r="K213" t="s">
        <v>21</v>
      </c>
      <c r="L213" t="s">
        <v>22</v>
      </c>
      <c r="M213" t="s">
        <v>23</v>
      </c>
      <c r="N213" t="s">
        <v>69</v>
      </c>
      <c r="O213" t="s">
        <v>44</v>
      </c>
    </row>
    <row r="214" spans="1:15" x14ac:dyDescent="0.35">
      <c r="A214">
        <v>1106115</v>
      </c>
      <c r="B214" t="s">
        <v>38</v>
      </c>
      <c r="C214" t="s">
        <v>78</v>
      </c>
      <c r="D214">
        <v>26</v>
      </c>
      <c r="E214" t="s">
        <v>17</v>
      </c>
      <c r="F214" s="1">
        <v>42380.647916666669</v>
      </c>
      <c r="G214" t="s">
        <v>437</v>
      </c>
      <c r="H214" t="s">
        <v>19</v>
      </c>
      <c r="I214" t="s">
        <v>438</v>
      </c>
      <c r="J214">
        <v>15</v>
      </c>
      <c r="K214" t="s">
        <v>21</v>
      </c>
      <c r="L214" t="s">
        <v>22</v>
      </c>
      <c r="M214" t="s">
        <v>23</v>
      </c>
      <c r="N214" t="s">
        <v>69</v>
      </c>
      <c r="O214" t="s">
        <v>44</v>
      </c>
    </row>
    <row r="215" spans="1:15" x14ac:dyDescent="0.35">
      <c r="A215">
        <v>820361</v>
      </c>
      <c r="B215" t="s">
        <v>15</v>
      </c>
      <c r="C215" t="s">
        <v>39</v>
      </c>
      <c r="D215">
        <v>28</v>
      </c>
      <c r="E215" t="s">
        <v>75</v>
      </c>
      <c r="F215" s="1">
        <v>42434.728472222225</v>
      </c>
      <c r="G215" t="s">
        <v>439</v>
      </c>
      <c r="H215" t="s">
        <v>71</v>
      </c>
      <c r="I215" t="s">
        <v>440</v>
      </c>
      <c r="J215">
        <v>17</v>
      </c>
      <c r="K215" t="s">
        <v>68</v>
      </c>
      <c r="L215" t="s">
        <v>31</v>
      </c>
      <c r="M215" t="s">
        <v>57</v>
      </c>
      <c r="N215" t="s">
        <v>69</v>
      </c>
      <c r="O215" t="s">
        <v>25</v>
      </c>
    </row>
    <row r="216" spans="1:15" x14ac:dyDescent="0.35">
      <c r="A216">
        <v>820361</v>
      </c>
      <c r="B216" t="s">
        <v>15</v>
      </c>
      <c r="C216" t="s">
        <v>39</v>
      </c>
      <c r="D216">
        <v>28</v>
      </c>
      <c r="E216" t="s">
        <v>75</v>
      </c>
      <c r="F216" s="1">
        <v>42449.748611111114</v>
      </c>
      <c r="G216" t="s">
        <v>441</v>
      </c>
      <c r="H216" t="s">
        <v>71</v>
      </c>
      <c r="I216" t="s">
        <v>442</v>
      </c>
      <c r="J216">
        <v>17</v>
      </c>
      <c r="K216" t="s">
        <v>56</v>
      </c>
      <c r="L216" t="s">
        <v>31</v>
      </c>
      <c r="M216" t="s">
        <v>57</v>
      </c>
      <c r="N216" t="s">
        <v>69</v>
      </c>
      <c r="O216" t="s">
        <v>25</v>
      </c>
    </row>
    <row r="217" spans="1:15" x14ac:dyDescent="0.35">
      <c r="A217">
        <v>820361</v>
      </c>
      <c r="B217" t="s">
        <v>15</v>
      </c>
      <c r="C217" t="s">
        <v>39</v>
      </c>
      <c r="D217">
        <v>28</v>
      </c>
      <c r="E217" t="s">
        <v>75</v>
      </c>
      <c r="F217" s="1">
        <v>42427.537499999999</v>
      </c>
      <c r="G217" t="s">
        <v>443</v>
      </c>
      <c r="H217" t="s">
        <v>86</v>
      </c>
      <c r="I217" t="s">
        <v>444</v>
      </c>
      <c r="J217">
        <v>12</v>
      </c>
      <c r="K217" t="s">
        <v>68</v>
      </c>
      <c r="L217" t="s">
        <v>50</v>
      </c>
      <c r="M217" t="s">
        <v>57</v>
      </c>
      <c r="N217" t="s">
        <v>69</v>
      </c>
      <c r="O217" t="s">
        <v>44</v>
      </c>
    </row>
    <row r="218" spans="1:15" x14ac:dyDescent="0.35">
      <c r="A218">
        <v>820361</v>
      </c>
      <c r="B218" t="s">
        <v>15</v>
      </c>
      <c r="C218" t="s">
        <v>39</v>
      </c>
      <c r="D218">
        <v>28</v>
      </c>
      <c r="E218" t="s">
        <v>75</v>
      </c>
      <c r="F218" s="1">
        <v>42427.551388888889</v>
      </c>
      <c r="G218" t="s">
        <v>178</v>
      </c>
      <c r="H218" t="s">
        <v>71</v>
      </c>
      <c r="I218" t="s">
        <v>445</v>
      </c>
      <c r="J218">
        <v>13</v>
      </c>
      <c r="K218" t="s">
        <v>68</v>
      </c>
      <c r="L218" t="s">
        <v>50</v>
      </c>
      <c r="M218" t="s">
        <v>57</v>
      </c>
      <c r="N218" t="s">
        <v>69</v>
      </c>
      <c r="O218" t="s">
        <v>44</v>
      </c>
    </row>
    <row r="219" spans="1:15" x14ac:dyDescent="0.35">
      <c r="A219">
        <v>820361</v>
      </c>
      <c r="B219" t="s">
        <v>15</v>
      </c>
      <c r="C219" t="s">
        <v>39</v>
      </c>
      <c r="D219">
        <v>28</v>
      </c>
      <c r="E219" t="s">
        <v>75</v>
      </c>
      <c r="F219" s="1">
        <v>42427.67083333333</v>
      </c>
      <c r="G219" t="s">
        <v>181</v>
      </c>
      <c r="H219" t="s">
        <v>71</v>
      </c>
      <c r="I219" t="s">
        <v>446</v>
      </c>
      <c r="J219">
        <v>16</v>
      </c>
      <c r="K219" t="s">
        <v>68</v>
      </c>
      <c r="L219" t="s">
        <v>50</v>
      </c>
      <c r="M219" t="s">
        <v>57</v>
      </c>
      <c r="N219" t="s">
        <v>69</v>
      </c>
      <c r="O219" t="s">
        <v>44</v>
      </c>
    </row>
    <row r="220" spans="1:15" x14ac:dyDescent="0.35">
      <c r="A220">
        <v>820361</v>
      </c>
      <c r="B220" t="s">
        <v>15</v>
      </c>
      <c r="C220" t="s">
        <v>39</v>
      </c>
      <c r="D220">
        <v>28</v>
      </c>
      <c r="E220" t="s">
        <v>75</v>
      </c>
      <c r="F220" s="1">
        <v>42432.257638888892</v>
      </c>
      <c r="G220" t="s">
        <v>70</v>
      </c>
      <c r="H220" t="s">
        <v>66</v>
      </c>
      <c r="I220" t="s">
        <v>447</v>
      </c>
      <c r="J220">
        <v>6</v>
      </c>
      <c r="K220" t="s">
        <v>63</v>
      </c>
      <c r="L220" t="s">
        <v>31</v>
      </c>
      <c r="M220" t="s">
        <v>23</v>
      </c>
      <c r="N220" t="s">
        <v>69</v>
      </c>
      <c r="O220" t="s">
        <v>33</v>
      </c>
    </row>
    <row r="221" spans="1:15" x14ac:dyDescent="0.35">
      <c r="A221">
        <v>771816</v>
      </c>
      <c r="B221" t="s">
        <v>15</v>
      </c>
      <c r="C221" t="s">
        <v>78</v>
      </c>
      <c r="D221">
        <v>31</v>
      </c>
      <c r="E221" t="s">
        <v>35</v>
      </c>
      <c r="F221" s="1">
        <v>42370.290972222225</v>
      </c>
      <c r="G221" t="s">
        <v>448</v>
      </c>
      <c r="H221" t="s">
        <v>47</v>
      </c>
      <c r="I221" t="s">
        <v>449</v>
      </c>
      <c r="J221">
        <v>6</v>
      </c>
      <c r="K221" t="s">
        <v>42</v>
      </c>
      <c r="L221" t="s">
        <v>22</v>
      </c>
      <c r="M221" t="s">
        <v>23</v>
      </c>
      <c r="N221" t="s">
        <v>24</v>
      </c>
      <c r="O221" t="s">
        <v>33</v>
      </c>
    </row>
    <row r="222" spans="1:15" x14ac:dyDescent="0.35">
      <c r="A222">
        <v>771816</v>
      </c>
      <c r="B222" t="s">
        <v>15</v>
      </c>
      <c r="C222" t="s">
        <v>78</v>
      </c>
      <c r="D222">
        <v>31</v>
      </c>
      <c r="E222" t="s">
        <v>35</v>
      </c>
      <c r="F222" s="1">
        <v>42370.293055555558</v>
      </c>
      <c r="G222" t="s">
        <v>450</v>
      </c>
      <c r="H222" t="s">
        <v>54</v>
      </c>
      <c r="I222" t="s">
        <v>451</v>
      </c>
      <c r="J222">
        <v>7</v>
      </c>
      <c r="K222" t="s">
        <v>42</v>
      </c>
      <c r="L222" t="s">
        <v>22</v>
      </c>
      <c r="M222" t="s">
        <v>23</v>
      </c>
      <c r="N222" t="s">
        <v>24</v>
      </c>
      <c r="O222" t="s">
        <v>33</v>
      </c>
    </row>
    <row r="223" spans="1:15" x14ac:dyDescent="0.35">
      <c r="A223">
        <v>771816</v>
      </c>
      <c r="B223" t="s">
        <v>15</v>
      </c>
      <c r="C223" t="s">
        <v>78</v>
      </c>
      <c r="D223">
        <v>31</v>
      </c>
      <c r="E223" t="s">
        <v>35</v>
      </c>
      <c r="F223" s="1">
        <v>42370.728472222225</v>
      </c>
      <c r="G223" t="s">
        <v>452</v>
      </c>
      <c r="H223" t="s">
        <v>19</v>
      </c>
      <c r="I223" t="s">
        <v>453</v>
      </c>
      <c r="J223">
        <v>17</v>
      </c>
      <c r="K223" t="s">
        <v>42</v>
      </c>
      <c r="L223" t="s">
        <v>22</v>
      </c>
      <c r="M223" t="s">
        <v>23</v>
      </c>
      <c r="N223" t="s">
        <v>24</v>
      </c>
      <c r="O223" t="s">
        <v>25</v>
      </c>
    </row>
    <row r="224" spans="1:15" x14ac:dyDescent="0.35">
      <c r="A224">
        <v>771816</v>
      </c>
      <c r="B224" t="s">
        <v>15</v>
      </c>
      <c r="C224" t="s">
        <v>78</v>
      </c>
      <c r="D224">
        <v>31</v>
      </c>
      <c r="E224" t="s">
        <v>35</v>
      </c>
      <c r="F224" s="1">
        <v>42452.464583333334</v>
      </c>
      <c r="G224" t="s">
        <v>248</v>
      </c>
      <c r="H224" t="s">
        <v>66</v>
      </c>
      <c r="I224" t="s">
        <v>454</v>
      </c>
      <c r="J224">
        <v>11</v>
      </c>
      <c r="K224" t="s">
        <v>30</v>
      </c>
      <c r="L224" t="s">
        <v>31</v>
      </c>
      <c r="M224" t="s">
        <v>23</v>
      </c>
      <c r="N224" t="s">
        <v>24</v>
      </c>
      <c r="O224" t="s">
        <v>44</v>
      </c>
    </row>
    <row r="225" spans="1:15" x14ac:dyDescent="0.35">
      <c r="A225">
        <v>771816</v>
      </c>
      <c r="B225" t="s">
        <v>15</v>
      </c>
      <c r="C225" t="s">
        <v>78</v>
      </c>
      <c r="D225">
        <v>31</v>
      </c>
      <c r="E225" t="s">
        <v>35</v>
      </c>
      <c r="F225" s="1">
        <v>42406.80972222222</v>
      </c>
      <c r="G225" t="s">
        <v>455</v>
      </c>
      <c r="H225" t="s">
        <v>19</v>
      </c>
      <c r="I225" t="s">
        <v>456</v>
      </c>
      <c r="J225">
        <v>19</v>
      </c>
      <c r="K225" t="s">
        <v>68</v>
      </c>
      <c r="L225" t="s">
        <v>50</v>
      </c>
      <c r="M225" t="s">
        <v>57</v>
      </c>
      <c r="N225" t="s">
        <v>24</v>
      </c>
      <c r="O225" t="s">
        <v>25</v>
      </c>
    </row>
    <row r="226" spans="1:15" x14ac:dyDescent="0.35">
      <c r="A226">
        <v>771816</v>
      </c>
      <c r="B226" t="s">
        <v>15</v>
      </c>
      <c r="C226" t="s">
        <v>78</v>
      </c>
      <c r="D226">
        <v>31</v>
      </c>
      <c r="E226" t="s">
        <v>35</v>
      </c>
      <c r="F226" s="1">
        <v>42427.397222222222</v>
      </c>
      <c r="G226" t="s">
        <v>76</v>
      </c>
      <c r="H226" t="s">
        <v>19</v>
      </c>
      <c r="I226" t="s">
        <v>457</v>
      </c>
      <c r="J226">
        <v>9</v>
      </c>
      <c r="K226" t="s">
        <v>68</v>
      </c>
      <c r="L226" t="s">
        <v>50</v>
      </c>
      <c r="M226" t="s">
        <v>57</v>
      </c>
      <c r="N226" t="s">
        <v>24</v>
      </c>
      <c r="O226" t="s">
        <v>33</v>
      </c>
    </row>
    <row r="227" spans="1:15" x14ac:dyDescent="0.35">
      <c r="A227">
        <v>771816</v>
      </c>
      <c r="B227" t="s">
        <v>15</v>
      </c>
      <c r="C227" t="s">
        <v>78</v>
      </c>
      <c r="D227">
        <v>31</v>
      </c>
      <c r="E227" t="s">
        <v>35</v>
      </c>
      <c r="F227" s="1">
        <v>42436.162499999999</v>
      </c>
      <c r="G227" t="s">
        <v>452</v>
      </c>
      <c r="H227" t="s">
        <v>19</v>
      </c>
      <c r="I227" t="s">
        <v>458</v>
      </c>
      <c r="J227">
        <v>3</v>
      </c>
      <c r="K227" t="s">
        <v>21</v>
      </c>
      <c r="L227" t="s">
        <v>31</v>
      </c>
      <c r="M227" t="s">
        <v>23</v>
      </c>
      <c r="N227" t="s">
        <v>24</v>
      </c>
      <c r="O227" t="s">
        <v>58</v>
      </c>
    </row>
    <row r="228" spans="1:15" x14ac:dyDescent="0.35">
      <c r="A228">
        <v>771816</v>
      </c>
      <c r="B228" t="s">
        <v>15</v>
      </c>
      <c r="C228" t="s">
        <v>78</v>
      </c>
      <c r="D228">
        <v>31</v>
      </c>
      <c r="E228" t="s">
        <v>35</v>
      </c>
      <c r="F228" s="1">
        <v>42430.268750000003</v>
      </c>
      <c r="G228" t="s">
        <v>459</v>
      </c>
      <c r="H228" t="s">
        <v>66</v>
      </c>
      <c r="I228" t="s">
        <v>460</v>
      </c>
      <c r="J228">
        <v>6</v>
      </c>
      <c r="K228" t="s">
        <v>49</v>
      </c>
      <c r="L228" t="s">
        <v>31</v>
      </c>
      <c r="M228" t="s">
        <v>23</v>
      </c>
      <c r="N228" t="s">
        <v>24</v>
      </c>
      <c r="O228" t="s">
        <v>33</v>
      </c>
    </row>
    <row r="229" spans="1:15" x14ac:dyDescent="0.35">
      <c r="A229">
        <v>788649</v>
      </c>
      <c r="B229" t="s">
        <v>15</v>
      </c>
      <c r="C229" t="s">
        <v>39</v>
      </c>
      <c r="D229">
        <v>39</v>
      </c>
      <c r="E229" t="s">
        <v>35</v>
      </c>
      <c r="F229" s="1">
        <v>42384.675000000003</v>
      </c>
      <c r="G229" t="s">
        <v>461</v>
      </c>
      <c r="H229" t="s">
        <v>86</v>
      </c>
      <c r="I229" t="s">
        <v>462</v>
      </c>
      <c r="J229">
        <v>16</v>
      </c>
      <c r="K229" t="s">
        <v>42</v>
      </c>
      <c r="L229" t="s">
        <v>22</v>
      </c>
      <c r="M229" t="s">
        <v>23</v>
      </c>
      <c r="N229" t="s">
        <v>93</v>
      </c>
      <c r="O229" t="s">
        <v>44</v>
      </c>
    </row>
    <row r="230" spans="1:15" x14ac:dyDescent="0.35">
      <c r="A230">
        <v>939606</v>
      </c>
      <c r="B230" t="s">
        <v>15</v>
      </c>
      <c r="C230" t="s">
        <v>16</v>
      </c>
      <c r="D230">
        <v>38</v>
      </c>
      <c r="E230" t="s">
        <v>17</v>
      </c>
      <c r="F230" s="1">
        <v>42459.245138888888</v>
      </c>
      <c r="G230" t="s">
        <v>373</v>
      </c>
      <c r="H230" t="s">
        <v>66</v>
      </c>
      <c r="I230" t="s">
        <v>463</v>
      </c>
      <c r="J230">
        <v>5</v>
      </c>
      <c r="K230" t="s">
        <v>30</v>
      </c>
      <c r="L230" t="s">
        <v>31</v>
      </c>
      <c r="M230" t="s">
        <v>23</v>
      </c>
      <c r="N230" t="s">
        <v>24</v>
      </c>
      <c r="O230" t="s">
        <v>33</v>
      </c>
    </row>
    <row r="231" spans="1:15" x14ac:dyDescent="0.35">
      <c r="A231">
        <v>831728</v>
      </c>
      <c r="B231" t="s">
        <v>38</v>
      </c>
      <c r="C231" t="s">
        <v>78</v>
      </c>
      <c r="D231">
        <v>35</v>
      </c>
      <c r="E231" t="s">
        <v>45</v>
      </c>
      <c r="F231" s="1">
        <v>42441.864583333336</v>
      </c>
      <c r="G231" t="s">
        <v>101</v>
      </c>
      <c r="H231" t="s">
        <v>86</v>
      </c>
      <c r="I231" t="s">
        <v>464</v>
      </c>
      <c r="J231">
        <v>20</v>
      </c>
      <c r="K231" t="s">
        <v>68</v>
      </c>
      <c r="L231" t="s">
        <v>31</v>
      </c>
      <c r="M231" t="s">
        <v>57</v>
      </c>
      <c r="N231" t="s">
        <v>24</v>
      </c>
      <c r="O231" t="s">
        <v>25</v>
      </c>
    </row>
    <row r="232" spans="1:15" x14ac:dyDescent="0.35">
      <c r="A232">
        <v>939607</v>
      </c>
      <c r="B232" t="s">
        <v>15</v>
      </c>
      <c r="C232" t="s">
        <v>34</v>
      </c>
      <c r="D232">
        <v>29</v>
      </c>
      <c r="E232" t="s">
        <v>134</v>
      </c>
      <c r="F232" s="1">
        <v>42459.49722222222</v>
      </c>
      <c r="G232" t="s">
        <v>160</v>
      </c>
      <c r="H232" t="s">
        <v>28</v>
      </c>
      <c r="I232" t="s">
        <v>465</v>
      </c>
      <c r="J232">
        <v>11</v>
      </c>
      <c r="K232" t="s">
        <v>30</v>
      </c>
      <c r="L232" t="s">
        <v>31</v>
      </c>
      <c r="M232" t="s">
        <v>23</v>
      </c>
      <c r="N232" t="s">
        <v>24</v>
      </c>
      <c r="O232" t="s">
        <v>44</v>
      </c>
    </row>
    <row r="233" spans="1:15" x14ac:dyDescent="0.35">
      <c r="A233">
        <v>808949</v>
      </c>
      <c r="B233" t="s">
        <v>38</v>
      </c>
      <c r="C233" t="s">
        <v>78</v>
      </c>
      <c r="D233">
        <v>35</v>
      </c>
      <c r="E233" t="s">
        <v>64</v>
      </c>
      <c r="F233" s="1">
        <v>42420.286805555559</v>
      </c>
      <c r="G233" t="s">
        <v>466</v>
      </c>
      <c r="H233" t="s">
        <v>106</v>
      </c>
      <c r="I233" t="s">
        <v>467</v>
      </c>
      <c r="J233">
        <v>6</v>
      </c>
      <c r="K233" t="s">
        <v>68</v>
      </c>
      <c r="L233" t="s">
        <v>50</v>
      </c>
      <c r="M233" t="s">
        <v>57</v>
      </c>
      <c r="N233" t="s">
        <v>24</v>
      </c>
      <c r="O233" t="s">
        <v>33</v>
      </c>
    </row>
    <row r="234" spans="1:15" x14ac:dyDescent="0.35">
      <c r="A234">
        <v>808949</v>
      </c>
      <c r="B234" t="s">
        <v>38</v>
      </c>
      <c r="C234" t="s">
        <v>78</v>
      </c>
      <c r="D234">
        <v>35</v>
      </c>
      <c r="E234" t="s">
        <v>64</v>
      </c>
      <c r="F234" s="1">
        <v>42415.744444444441</v>
      </c>
      <c r="G234" t="s">
        <v>468</v>
      </c>
      <c r="H234" t="s">
        <v>106</v>
      </c>
      <c r="I234" t="s">
        <v>469</v>
      </c>
      <c r="J234">
        <v>17</v>
      </c>
      <c r="K234" t="s">
        <v>21</v>
      </c>
      <c r="L234" t="s">
        <v>50</v>
      </c>
      <c r="M234" t="s">
        <v>23</v>
      </c>
      <c r="N234" t="s">
        <v>24</v>
      </c>
      <c r="O234" t="s">
        <v>25</v>
      </c>
    </row>
    <row r="235" spans="1:15" x14ac:dyDescent="0.35">
      <c r="A235">
        <v>808949</v>
      </c>
      <c r="B235" t="s">
        <v>38</v>
      </c>
      <c r="C235" t="s">
        <v>78</v>
      </c>
      <c r="D235">
        <v>35</v>
      </c>
      <c r="E235" t="s">
        <v>64</v>
      </c>
      <c r="F235" s="1">
        <v>42431.431250000001</v>
      </c>
      <c r="G235" t="s">
        <v>470</v>
      </c>
      <c r="H235" t="s">
        <v>106</v>
      </c>
      <c r="I235" t="s">
        <v>471</v>
      </c>
      <c r="J235">
        <v>10</v>
      </c>
      <c r="K235" t="s">
        <v>30</v>
      </c>
      <c r="L235" t="s">
        <v>31</v>
      </c>
      <c r="M235" t="s">
        <v>23</v>
      </c>
      <c r="N235" t="s">
        <v>24</v>
      </c>
      <c r="O235" t="s">
        <v>33</v>
      </c>
    </row>
    <row r="236" spans="1:15" x14ac:dyDescent="0.35">
      <c r="A236">
        <v>808949</v>
      </c>
      <c r="B236" t="s">
        <v>38</v>
      </c>
      <c r="C236" t="s">
        <v>78</v>
      </c>
      <c r="D236">
        <v>35</v>
      </c>
      <c r="E236" t="s">
        <v>64</v>
      </c>
      <c r="F236" s="1">
        <v>42414.330555555556</v>
      </c>
      <c r="G236" t="s">
        <v>472</v>
      </c>
      <c r="H236" t="s">
        <v>106</v>
      </c>
      <c r="I236" t="s">
        <v>473</v>
      </c>
      <c r="J236">
        <v>7</v>
      </c>
      <c r="K236" t="s">
        <v>56</v>
      </c>
      <c r="L236" t="s">
        <v>50</v>
      </c>
      <c r="M236" t="s">
        <v>57</v>
      </c>
      <c r="N236" t="s">
        <v>24</v>
      </c>
      <c r="O236" t="s">
        <v>33</v>
      </c>
    </row>
    <row r="237" spans="1:15" x14ac:dyDescent="0.35">
      <c r="A237">
        <v>808949</v>
      </c>
      <c r="B237" t="s">
        <v>38</v>
      </c>
      <c r="C237" t="s">
        <v>78</v>
      </c>
      <c r="D237">
        <v>35</v>
      </c>
      <c r="E237" t="s">
        <v>64</v>
      </c>
      <c r="F237" s="1">
        <v>42438.35</v>
      </c>
      <c r="G237" t="s">
        <v>474</v>
      </c>
      <c r="H237" t="s">
        <v>51</v>
      </c>
      <c r="I237" t="s">
        <v>475</v>
      </c>
      <c r="J237">
        <v>8</v>
      </c>
      <c r="K237" t="s">
        <v>30</v>
      </c>
      <c r="L237" t="s">
        <v>31</v>
      </c>
      <c r="M237" t="s">
        <v>23</v>
      </c>
      <c r="N237" t="s">
        <v>24</v>
      </c>
      <c r="O237" t="s">
        <v>33</v>
      </c>
    </row>
    <row r="238" spans="1:15" x14ac:dyDescent="0.35">
      <c r="A238">
        <v>806460</v>
      </c>
      <c r="B238" t="s">
        <v>15</v>
      </c>
      <c r="C238" t="s">
        <v>34</v>
      </c>
      <c r="D238">
        <v>39</v>
      </c>
      <c r="E238" t="s">
        <v>64</v>
      </c>
      <c r="F238" s="1">
        <v>42413.831944444442</v>
      </c>
      <c r="G238" t="s">
        <v>76</v>
      </c>
      <c r="H238" t="s">
        <v>51</v>
      </c>
      <c r="I238" t="s">
        <v>476</v>
      </c>
      <c r="J238">
        <v>19</v>
      </c>
      <c r="K238" t="s">
        <v>68</v>
      </c>
      <c r="L238" t="s">
        <v>50</v>
      </c>
      <c r="M238" t="s">
        <v>57</v>
      </c>
      <c r="N238" t="s">
        <v>93</v>
      </c>
      <c r="O238" t="s">
        <v>25</v>
      </c>
    </row>
    <row r="239" spans="1:15" x14ac:dyDescent="0.35">
      <c r="A239">
        <v>460303</v>
      </c>
      <c r="B239" t="s">
        <v>26</v>
      </c>
      <c r="C239" t="s">
        <v>26</v>
      </c>
      <c r="D239">
        <v>0</v>
      </c>
      <c r="E239" t="s">
        <v>26</v>
      </c>
      <c r="F239" s="1">
        <v>42391.6875</v>
      </c>
      <c r="G239" t="s">
        <v>455</v>
      </c>
      <c r="H239" t="s">
        <v>66</v>
      </c>
      <c r="I239" t="s">
        <v>477</v>
      </c>
      <c r="J239">
        <v>16</v>
      </c>
      <c r="K239" t="s">
        <v>42</v>
      </c>
      <c r="L239" t="s">
        <v>22</v>
      </c>
      <c r="M239" t="s">
        <v>23</v>
      </c>
      <c r="N239" t="s">
        <v>32</v>
      </c>
      <c r="O239" t="s">
        <v>44</v>
      </c>
    </row>
    <row r="240" spans="1:15" x14ac:dyDescent="0.35">
      <c r="A240">
        <v>808950</v>
      </c>
      <c r="B240" t="s">
        <v>15</v>
      </c>
      <c r="C240" t="s">
        <v>78</v>
      </c>
      <c r="D240">
        <v>18</v>
      </c>
      <c r="E240" t="s">
        <v>195</v>
      </c>
      <c r="F240" s="1">
        <v>42418.559027777781</v>
      </c>
      <c r="G240" t="s">
        <v>478</v>
      </c>
      <c r="H240" t="s">
        <v>51</v>
      </c>
      <c r="I240" t="s">
        <v>479</v>
      </c>
      <c r="J240">
        <v>13</v>
      </c>
      <c r="K240" t="s">
        <v>63</v>
      </c>
      <c r="L240" t="s">
        <v>50</v>
      </c>
      <c r="M240" t="s">
        <v>23</v>
      </c>
      <c r="N240" t="s">
        <v>69</v>
      </c>
      <c r="O240" t="s">
        <v>44</v>
      </c>
    </row>
    <row r="241" spans="1:15" x14ac:dyDescent="0.35">
      <c r="A241">
        <v>808950</v>
      </c>
      <c r="B241" t="s">
        <v>15</v>
      </c>
      <c r="C241" t="s">
        <v>78</v>
      </c>
      <c r="D241">
        <v>18</v>
      </c>
      <c r="E241" t="s">
        <v>195</v>
      </c>
      <c r="F241" s="1">
        <v>42418.543055555558</v>
      </c>
      <c r="G241" t="s">
        <v>145</v>
      </c>
      <c r="H241" t="s">
        <v>54</v>
      </c>
      <c r="I241" t="s">
        <v>480</v>
      </c>
      <c r="J241">
        <v>13</v>
      </c>
      <c r="K241" t="s">
        <v>63</v>
      </c>
      <c r="L241" t="s">
        <v>50</v>
      </c>
      <c r="M241" t="s">
        <v>23</v>
      </c>
      <c r="N241" t="s">
        <v>69</v>
      </c>
      <c r="O241" t="s">
        <v>44</v>
      </c>
    </row>
    <row r="242" spans="1:15" x14ac:dyDescent="0.35">
      <c r="A242">
        <v>808950</v>
      </c>
      <c r="B242" t="s">
        <v>15</v>
      </c>
      <c r="C242" t="s">
        <v>78</v>
      </c>
      <c r="D242">
        <v>18</v>
      </c>
      <c r="E242" t="s">
        <v>195</v>
      </c>
      <c r="F242" s="1">
        <v>42418.247916666667</v>
      </c>
      <c r="G242" t="s">
        <v>481</v>
      </c>
      <c r="H242" t="s">
        <v>51</v>
      </c>
      <c r="I242" t="s">
        <v>482</v>
      </c>
      <c r="J242">
        <v>5</v>
      </c>
      <c r="K242" t="s">
        <v>63</v>
      </c>
      <c r="L242" t="s">
        <v>50</v>
      </c>
      <c r="M242" t="s">
        <v>23</v>
      </c>
      <c r="N242" t="s">
        <v>69</v>
      </c>
      <c r="O242" t="s">
        <v>33</v>
      </c>
    </row>
    <row r="243" spans="1:15" x14ac:dyDescent="0.35">
      <c r="A243">
        <v>808950</v>
      </c>
      <c r="B243" t="s">
        <v>15</v>
      </c>
      <c r="C243" t="s">
        <v>78</v>
      </c>
      <c r="D243">
        <v>18</v>
      </c>
      <c r="E243" t="s">
        <v>195</v>
      </c>
      <c r="F243" s="1">
        <v>42420.603472222225</v>
      </c>
      <c r="G243" t="s">
        <v>222</v>
      </c>
      <c r="H243" t="s">
        <v>71</v>
      </c>
      <c r="I243" t="s">
        <v>483</v>
      </c>
      <c r="J243">
        <v>14</v>
      </c>
      <c r="K243" t="s">
        <v>68</v>
      </c>
      <c r="L243" t="s">
        <v>50</v>
      </c>
      <c r="M243" t="s">
        <v>57</v>
      </c>
      <c r="N243" t="s">
        <v>69</v>
      </c>
      <c r="O243" t="s">
        <v>44</v>
      </c>
    </row>
    <row r="244" spans="1:15" x14ac:dyDescent="0.35">
      <c r="A244">
        <v>808950</v>
      </c>
      <c r="B244" t="s">
        <v>15</v>
      </c>
      <c r="C244" t="s">
        <v>78</v>
      </c>
      <c r="D244">
        <v>18</v>
      </c>
      <c r="E244" t="s">
        <v>195</v>
      </c>
      <c r="F244" s="1">
        <v>42432.755555555559</v>
      </c>
      <c r="G244" t="s">
        <v>484</v>
      </c>
      <c r="H244" t="s">
        <v>86</v>
      </c>
      <c r="I244" t="s">
        <v>485</v>
      </c>
      <c r="J244">
        <v>18</v>
      </c>
      <c r="K244" t="s">
        <v>63</v>
      </c>
      <c r="L244" t="s">
        <v>31</v>
      </c>
      <c r="M244" t="s">
        <v>23</v>
      </c>
      <c r="N244" t="s">
        <v>69</v>
      </c>
      <c r="O244" t="s">
        <v>25</v>
      </c>
    </row>
    <row r="245" spans="1:15" x14ac:dyDescent="0.35">
      <c r="A245">
        <v>808950</v>
      </c>
      <c r="B245" t="s">
        <v>15</v>
      </c>
      <c r="C245" t="s">
        <v>78</v>
      </c>
      <c r="D245">
        <v>18</v>
      </c>
      <c r="E245" t="s">
        <v>195</v>
      </c>
      <c r="F245" s="1">
        <v>42418.183333333334</v>
      </c>
      <c r="G245" t="s">
        <v>120</v>
      </c>
      <c r="H245" t="s">
        <v>54</v>
      </c>
      <c r="I245" t="s">
        <v>486</v>
      </c>
      <c r="J245">
        <v>4</v>
      </c>
      <c r="K245" t="s">
        <v>63</v>
      </c>
      <c r="L245" t="s">
        <v>50</v>
      </c>
      <c r="M245" t="s">
        <v>23</v>
      </c>
      <c r="N245" t="s">
        <v>69</v>
      </c>
      <c r="O245" t="s">
        <v>58</v>
      </c>
    </row>
    <row r="246" spans="1:15" x14ac:dyDescent="0.35">
      <c r="A246">
        <v>808950</v>
      </c>
      <c r="B246" t="s">
        <v>15</v>
      </c>
      <c r="C246" t="s">
        <v>78</v>
      </c>
      <c r="D246">
        <v>18</v>
      </c>
      <c r="E246" t="s">
        <v>195</v>
      </c>
      <c r="F246" s="1">
        <v>42418.317361111112</v>
      </c>
      <c r="G246" t="s">
        <v>384</v>
      </c>
      <c r="H246" t="s">
        <v>19</v>
      </c>
      <c r="I246" t="s">
        <v>487</v>
      </c>
      <c r="J246">
        <v>7</v>
      </c>
      <c r="K246" t="s">
        <v>63</v>
      </c>
      <c r="L246" t="s">
        <v>50</v>
      </c>
      <c r="M246" t="s">
        <v>23</v>
      </c>
      <c r="N246" t="s">
        <v>69</v>
      </c>
      <c r="O246" t="s">
        <v>33</v>
      </c>
    </row>
    <row r="247" spans="1:15" x14ac:dyDescent="0.35">
      <c r="A247">
        <v>808950</v>
      </c>
      <c r="B247" t="s">
        <v>15</v>
      </c>
      <c r="C247" t="s">
        <v>78</v>
      </c>
      <c r="D247">
        <v>18</v>
      </c>
      <c r="E247" t="s">
        <v>195</v>
      </c>
      <c r="F247" s="1">
        <v>42418.617361111108</v>
      </c>
      <c r="G247" t="s">
        <v>312</v>
      </c>
      <c r="H247" t="s">
        <v>54</v>
      </c>
      <c r="I247" t="s">
        <v>488</v>
      </c>
      <c r="J247">
        <v>14</v>
      </c>
      <c r="K247" t="s">
        <v>63</v>
      </c>
      <c r="L247" t="s">
        <v>50</v>
      </c>
      <c r="M247" t="s">
        <v>23</v>
      </c>
      <c r="N247" t="s">
        <v>69</v>
      </c>
      <c r="O247" t="s">
        <v>44</v>
      </c>
    </row>
    <row r="248" spans="1:15" x14ac:dyDescent="0.35">
      <c r="A248">
        <v>808950</v>
      </c>
      <c r="B248" t="s">
        <v>15</v>
      </c>
      <c r="C248" t="s">
        <v>78</v>
      </c>
      <c r="D248">
        <v>18</v>
      </c>
      <c r="E248" t="s">
        <v>195</v>
      </c>
      <c r="F248" s="1">
        <v>42435.611805555556</v>
      </c>
      <c r="G248" t="s">
        <v>489</v>
      </c>
      <c r="H248" t="s">
        <v>71</v>
      </c>
      <c r="I248" t="s">
        <v>490</v>
      </c>
      <c r="J248">
        <v>14</v>
      </c>
      <c r="K248" t="s">
        <v>56</v>
      </c>
      <c r="L248" t="s">
        <v>31</v>
      </c>
      <c r="M248" t="s">
        <v>57</v>
      </c>
      <c r="N248" t="s">
        <v>69</v>
      </c>
      <c r="O248" t="s">
        <v>44</v>
      </c>
    </row>
    <row r="249" spans="1:15" x14ac:dyDescent="0.35">
      <c r="A249">
        <v>808950</v>
      </c>
      <c r="B249" t="s">
        <v>15</v>
      </c>
      <c r="C249" t="s">
        <v>78</v>
      </c>
      <c r="D249">
        <v>18</v>
      </c>
      <c r="E249" t="s">
        <v>195</v>
      </c>
      <c r="F249" s="1">
        <v>42432.182638888888</v>
      </c>
      <c r="G249" t="s">
        <v>491</v>
      </c>
      <c r="H249" t="s">
        <v>86</v>
      </c>
      <c r="I249" t="s">
        <v>492</v>
      </c>
      <c r="J249">
        <v>4</v>
      </c>
      <c r="K249" t="s">
        <v>63</v>
      </c>
      <c r="L249" t="s">
        <v>31</v>
      </c>
      <c r="M249" t="s">
        <v>23</v>
      </c>
      <c r="N249" t="s">
        <v>69</v>
      </c>
      <c r="O249" t="s">
        <v>58</v>
      </c>
    </row>
    <row r="250" spans="1:15" x14ac:dyDescent="0.35">
      <c r="A250">
        <v>808950</v>
      </c>
      <c r="B250" t="s">
        <v>15</v>
      </c>
      <c r="C250" t="s">
        <v>78</v>
      </c>
      <c r="D250">
        <v>18</v>
      </c>
      <c r="E250" t="s">
        <v>195</v>
      </c>
      <c r="F250" s="1">
        <v>42456.442361111112</v>
      </c>
      <c r="G250" t="s">
        <v>493</v>
      </c>
      <c r="H250" t="s">
        <v>86</v>
      </c>
      <c r="I250" t="s">
        <v>494</v>
      </c>
      <c r="J250">
        <v>10</v>
      </c>
      <c r="K250" t="s">
        <v>56</v>
      </c>
      <c r="L250" t="s">
        <v>31</v>
      </c>
      <c r="M250" t="s">
        <v>57</v>
      </c>
      <c r="N250" t="s">
        <v>69</v>
      </c>
      <c r="O250" t="s">
        <v>33</v>
      </c>
    </row>
    <row r="251" spans="1:15" x14ac:dyDescent="0.35">
      <c r="A251">
        <v>892644</v>
      </c>
      <c r="B251" t="s">
        <v>15</v>
      </c>
      <c r="C251" t="s">
        <v>78</v>
      </c>
      <c r="D251">
        <v>18</v>
      </c>
      <c r="E251" t="s">
        <v>35</v>
      </c>
      <c r="F251" s="1">
        <v>42450.325694444444</v>
      </c>
      <c r="G251" t="s">
        <v>495</v>
      </c>
      <c r="H251" t="s">
        <v>51</v>
      </c>
      <c r="I251" t="s">
        <v>496</v>
      </c>
      <c r="J251">
        <v>7</v>
      </c>
      <c r="K251" t="s">
        <v>21</v>
      </c>
      <c r="L251" t="s">
        <v>31</v>
      </c>
      <c r="M251" t="s">
        <v>23</v>
      </c>
      <c r="N251" t="s">
        <v>69</v>
      </c>
      <c r="O251" t="s">
        <v>33</v>
      </c>
    </row>
    <row r="252" spans="1:15" x14ac:dyDescent="0.35">
      <c r="A252">
        <v>925955</v>
      </c>
      <c r="B252" t="s">
        <v>15</v>
      </c>
      <c r="C252" t="s">
        <v>34</v>
      </c>
      <c r="D252">
        <v>23</v>
      </c>
      <c r="E252" t="s">
        <v>35</v>
      </c>
      <c r="F252" s="1">
        <v>42459.361111111109</v>
      </c>
      <c r="G252" t="s">
        <v>497</v>
      </c>
      <c r="H252" t="s">
        <v>28</v>
      </c>
      <c r="I252" t="s">
        <v>498</v>
      </c>
      <c r="J252">
        <v>8</v>
      </c>
      <c r="K252" t="s">
        <v>30</v>
      </c>
      <c r="L252" t="s">
        <v>31</v>
      </c>
      <c r="M252" t="s">
        <v>23</v>
      </c>
      <c r="N252" t="s">
        <v>69</v>
      </c>
      <c r="O252" t="s">
        <v>33</v>
      </c>
    </row>
    <row r="253" spans="1:15" x14ac:dyDescent="0.35">
      <c r="A253">
        <v>771823</v>
      </c>
      <c r="B253" t="s">
        <v>15</v>
      </c>
      <c r="C253" t="s">
        <v>78</v>
      </c>
      <c r="D253">
        <v>26</v>
      </c>
      <c r="E253" t="s">
        <v>17</v>
      </c>
      <c r="F253" s="1">
        <v>42406.465277777781</v>
      </c>
      <c r="G253" t="s">
        <v>455</v>
      </c>
      <c r="H253" t="s">
        <v>54</v>
      </c>
      <c r="I253" t="s">
        <v>499</v>
      </c>
      <c r="J253">
        <v>11</v>
      </c>
      <c r="K253" t="s">
        <v>68</v>
      </c>
      <c r="L253" t="s">
        <v>50</v>
      </c>
      <c r="M253" t="s">
        <v>57</v>
      </c>
      <c r="N253" t="s">
        <v>69</v>
      </c>
      <c r="O253" t="s">
        <v>44</v>
      </c>
    </row>
    <row r="254" spans="1:15" x14ac:dyDescent="0.35">
      <c r="A254">
        <v>853642</v>
      </c>
      <c r="B254" t="s">
        <v>15</v>
      </c>
      <c r="C254" t="s">
        <v>16</v>
      </c>
      <c r="D254">
        <v>24</v>
      </c>
      <c r="E254" t="s">
        <v>64</v>
      </c>
      <c r="F254" s="1">
        <v>42435.890277777777</v>
      </c>
      <c r="G254" t="s">
        <v>76</v>
      </c>
      <c r="H254" t="s">
        <v>91</v>
      </c>
      <c r="I254" t="s">
        <v>500</v>
      </c>
      <c r="J254">
        <v>21</v>
      </c>
      <c r="K254" t="s">
        <v>56</v>
      </c>
      <c r="L254" t="s">
        <v>31</v>
      </c>
      <c r="M254" t="s">
        <v>57</v>
      </c>
      <c r="N254" t="s">
        <v>69</v>
      </c>
      <c r="O254" t="s">
        <v>25</v>
      </c>
    </row>
    <row r="255" spans="1:15" x14ac:dyDescent="0.35">
      <c r="A255">
        <v>904101</v>
      </c>
      <c r="B255" t="s">
        <v>15</v>
      </c>
      <c r="C255" t="s">
        <v>34</v>
      </c>
      <c r="D255">
        <v>29</v>
      </c>
      <c r="E255" t="s">
        <v>35</v>
      </c>
      <c r="F255" s="1">
        <v>42457.848611111112</v>
      </c>
      <c r="G255" t="s">
        <v>145</v>
      </c>
      <c r="H255" t="s">
        <v>19</v>
      </c>
      <c r="I255" t="s">
        <v>501</v>
      </c>
      <c r="J255">
        <v>20</v>
      </c>
      <c r="K255" t="s">
        <v>21</v>
      </c>
      <c r="L255" t="s">
        <v>31</v>
      </c>
      <c r="M255" t="s">
        <v>23</v>
      </c>
      <c r="N255" t="s">
        <v>24</v>
      </c>
      <c r="O255" t="s">
        <v>25</v>
      </c>
    </row>
    <row r="256" spans="1:15" x14ac:dyDescent="0.35">
      <c r="A256">
        <v>904101</v>
      </c>
      <c r="B256" t="s">
        <v>15</v>
      </c>
      <c r="C256" t="s">
        <v>34</v>
      </c>
      <c r="D256">
        <v>29</v>
      </c>
      <c r="E256" t="s">
        <v>35</v>
      </c>
      <c r="F256" s="1">
        <v>42453.957638888889</v>
      </c>
      <c r="G256" t="s">
        <v>76</v>
      </c>
      <c r="H256" t="s">
        <v>91</v>
      </c>
      <c r="I256" t="s">
        <v>502</v>
      </c>
      <c r="J256">
        <v>22</v>
      </c>
      <c r="K256" t="s">
        <v>63</v>
      </c>
      <c r="L256" t="s">
        <v>31</v>
      </c>
      <c r="M256" t="s">
        <v>23</v>
      </c>
      <c r="N256" t="s">
        <v>24</v>
      </c>
      <c r="O256" t="s">
        <v>104</v>
      </c>
    </row>
    <row r="257" spans="1:15" x14ac:dyDescent="0.35">
      <c r="A257">
        <v>904101</v>
      </c>
      <c r="B257" t="s">
        <v>15</v>
      </c>
      <c r="C257" t="s">
        <v>34</v>
      </c>
      <c r="D257">
        <v>29</v>
      </c>
      <c r="E257" t="s">
        <v>35</v>
      </c>
      <c r="F257" s="1">
        <v>42455.556250000001</v>
      </c>
      <c r="G257" t="s">
        <v>503</v>
      </c>
      <c r="H257" t="s">
        <v>106</v>
      </c>
      <c r="I257" t="s">
        <v>504</v>
      </c>
      <c r="J257">
        <v>13</v>
      </c>
      <c r="K257" t="s">
        <v>68</v>
      </c>
      <c r="L257" t="s">
        <v>31</v>
      </c>
      <c r="M257" t="s">
        <v>57</v>
      </c>
      <c r="N257" t="s">
        <v>24</v>
      </c>
      <c r="O257" t="s">
        <v>44</v>
      </c>
    </row>
    <row r="258" spans="1:15" x14ac:dyDescent="0.35">
      <c r="A258">
        <v>831732</v>
      </c>
      <c r="B258" t="s">
        <v>15</v>
      </c>
      <c r="C258" t="s">
        <v>16</v>
      </c>
      <c r="D258">
        <v>22</v>
      </c>
      <c r="E258" t="s">
        <v>35</v>
      </c>
      <c r="F258" s="1">
        <v>42432.473611111112</v>
      </c>
      <c r="G258" t="s">
        <v>505</v>
      </c>
      <c r="H258" t="s">
        <v>19</v>
      </c>
      <c r="I258" t="s">
        <v>506</v>
      </c>
      <c r="J258">
        <v>11</v>
      </c>
      <c r="K258" t="s">
        <v>63</v>
      </c>
      <c r="L258" t="s">
        <v>31</v>
      </c>
      <c r="M258" t="s">
        <v>23</v>
      </c>
      <c r="N258" t="s">
        <v>69</v>
      </c>
      <c r="O258" t="s">
        <v>44</v>
      </c>
    </row>
    <row r="259" spans="1:15" x14ac:dyDescent="0.35">
      <c r="A259">
        <v>831732</v>
      </c>
      <c r="B259" t="s">
        <v>15</v>
      </c>
      <c r="C259" t="s">
        <v>16</v>
      </c>
      <c r="D259">
        <v>22</v>
      </c>
      <c r="E259" t="s">
        <v>35</v>
      </c>
      <c r="F259" s="1">
        <v>42437.743750000001</v>
      </c>
      <c r="G259" t="s">
        <v>503</v>
      </c>
      <c r="H259" t="s">
        <v>66</v>
      </c>
      <c r="I259" t="s">
        <v>507</v>
      </c>
      <c r="J259">
        <v>17</v>
      </c>
      <c r="K259" t="s">
        <v>49</v>
      </c>
      <c r="L259" t="s">
        <v>31</v>
      </c>
      <c r="M259" t="s">
        <v>23</v>
      </c>
      <c r="N259" t="s">
        <v>69</v>
      </c>
      <c r="O259" t="s">
        <v>25</v>
      </c>
    </row>
    <row r="260" spans="1:15" x14ac:dyDescent="0.35">
      <c r="A260">
        <v>831732</v>
      </c>
      <c r="B260" t="s">
        <v>15</v>
      </c>
      <c r="C260" t="s">
        <v>16</v>
      </c>
      <c r="D260">
        <v>22</v>
      </c>
      <c r="E260" t="s">
        <v>35</v>
      </c>
      <c r="F260" s="1">
        <v>42444.938888888886</v>
      </c>
      <c r="G260" t="s">
        <v>178</v>
      </c>
      <c r="H260" t="s">
        <v>28</v>
      </c>
      <c r="I260" t="s">
        <v>508</v>
      </c>
      <c r="J260">
        <v>22</v>
      </c>
      <c r="K260" t="s">
        <v>49</v>
      </c>
      <c r="L260" t="s">
        <v>31</v>
      </c>
      <c r="M260" t="s">
        <v>23</v>
      </c>
      <c r="N260" t="s">
        <v>69</v>
      </c>
      <c r="O260" t="s">
        <v>104</v>
      </c>
    </row>
    <row r="261" spans="1:15" x14ac:dyDescent="0.35">
      <c r="A261">
        <v>1106137</v>
      </c>
      <c r="B261" t="s">
        <v>15</v>
      </c>
      <c r="C261" t="s">
        <v>16</v>
      </c>
      <c r="D261">
        <v>39</v>
      </c>
      <c r="E261" t="s">
        <v>17</v>
      </c>
      <c r="F261" s="1">
        <v>42377.876388888886</v>
      </c>
      <c r="G261" t="s">
        <v>509</v>
      </c>
      <c r="H261" t="s">
        <v>91</v>
      </c>
      <c r="I261" t="s">
        <v>510</v>
      </c>
      <c r="J261">
        <v>21</v>
      </c>
      <c r="K261" t="s">
        <v>42</v>
      </c>
      <c r="L261" t="s">
        <v>22</v>
      </c>
      <c r="M261" t="s">
        <v>23</v>
      </c>
      <c r="N261" t="s">
        <v>93</v>
      </c>
      <c r="O261" t="s">
        <v>25</v>
      </c>
    </row>
    <row r="262" spans="1:15" x14ac:dyDescent="0.35">
      <c r="A262">
        <v>1106137</v>
      </c>
      <c r="B262" t="s">
        <v>15</v>
      </c>
      <c r="C262" t="s">
        <v>16</v>
      </c>
      <c r="D262">
        <v>39</v>
      </c>
      <c r="E262" t="s">
        <v>17</v>
      </c>
      <c r="F262" s="1">
        <v>42377.884027777778</v>
      </c>
      <c r="G262" t="s">
        <v>76</v>
      </c>
      <c r="H262" t="s">
        <v>66</v>
      </c>
      <c r="I262" t="s">
        <v>511</v>
      </c>
      <c r="J262">
        <v>21</v>
      </c>
      <c r="K262" t="s">
        <v>42</v>
      </c>
      <c r="L262" t="s">
        <v>22</v>
      </c>
      <c r="M262" t="s">
        <v>23</v>
      </c>
      <c r="N262" t="s">
        <v>93</v>
      </c>
      <c r="O262" t="s">
        <v>25</v>
      </c>
    </row>
    <row r="263" spans="1:15" x14ac:dyDescent="0.35">
      <c r="A263">
        <v>865372</v>
      </c>
      <c r="B263" t="s">
        <v>38</v>
      </c>
      <c r="C263" t="s">
        <v>16</v>
      </c>
      <c r="D263">
        <v>29</v>
      </c>
      <c r="E263" t="s">
        <v>64</v>
      </c>
      <c r="F263" s="1">
        <v>42457.254861111112</v>
      </c>
      <c r="G263" t="s">
        <v>248</v>
      </c>
      <c r="H263" t="s">
        <v>51</v>
      </c>
      <c r="I263" t="s">
        <v>512</v>
      </c>
      <c r="J263">
        <v>6</v>
      </c>
      <c r="K263" t="s">
        <v>21</v>
      </c>
      <c r="L263" t="s">
        <v>31</v>
      </c>
      <c r="M263" t="s">
        <v>23</v>
      </c>
      <c r="N263" t="s">
        <v>24</v>
      </c>
      <c r="O263" t="s">
        <v>33</v>
      </c>
    </row>
    <row r="264" spans="1:15" x14ac:dyDescent="0.35">
      <c r="A264">
        <v>865372</v>
      </c>
      <c r="B264" t="s">
        <v>38</v>
      </c>
      <c r="C264" t="s">
        <v>16</v>
      </c>
      <c r="D264">
        <v>29</v>
      </c>
      <c r="E264" t="s">
        <v>64</v>
      </c>
      <c r="F264" s="1">
        <v>42456.215277777781</v>
      </c>
      <c r="G264" t="s">
        <v>513</v>
      </c>
      <c r="H264" t="s">
        <v>51</v>
      </c>
      <c r="I264" t="s">
        <v>514</v>
      </c>
      <c r="J264">
        <v>5</v>
      </c>
      <c r="K264" t="s">
        <v>56</v>
      </c>
      <c r="L264" t="s">
        <v>31</v>
      </c>
      <c r="M264" t="s">
        <v>57</v>
      </c>
      <c r="N264" t="s">
        <v>24</v>
      </c>
      <c r="O264" t="s">
        <v>33</v>
      </c>
    </row>
    <row r="265" spans="1:15" x14ac:dyDescent="0.35">
      <c r="A265">
        <v>2255518</v>
      </c>
      <c r="B265" t="s">
        <v>15</v>
      </c>
      <c r="C265" t="s">
        <v>78</v>
      </c>
      <c r="D265">
        <v>56</v>
      </c>
      <c r="E265" t="s">
        <v>35</v>
      </c>
      <c r="F265" s="1">
        <v>42405.426388888889</v>
      </c>
      <c r="G265" t="s">
        <v>145</v>
      </c>
      <c r="H265" t="s">
        <v>71</v>
      </c>
      <c r="I265" t="s">
        <v>515</v>
      </c>
      <c r="J265">
        <v>10</v>
      </c>
      <c r="K265" t="s">
        <v>42</v>
      </c>
      <c r="L265" t="s">
        <v>50</v>
      </c>
      <c r="M265" t="s">
        <v>23</v>
      </c>
      <c r="N265" t="s">
        <v>43</v>
      </c>
      <c r="O265" t="s">
        <v>33</v>
      </c>
    </row>
    <row r="266" spans="1:15" x14ac:dyDescent="0.35">
      <c r="A266">
        <v>2255518</v>
      </c>
      <c r="B266" t="s">
        <v>15</v>
      </c>
      <c r="C266" t="s">
        <v>78</v>
      </c>
      <c r="D266">
        <v>56</v>
      </c>
      <c r="E266" t="s">
        <v>35</v>
      </c>
      <c r="F266" s="1">
        <v>42426.551388888889</v>
      </c>
      <c r="G266" t="s">
        <v>174</v>
      </c>
      <c r="H266" t="s">
        <v>116</v>
      </c>
      <c r="I266" t="s">
        <v>516</v>
      </c>
      <c r="J266">
        <v>13</v>
      </c>
      <c r="K266" t="s">
        <v>42</v>
      </c>
      <c r="L266" t="s">
        <v>50</v>
      </c>
      <c r="M266" t="s">
        <v>23</v>
      </c>
      <c r="N266" t="s">
        <v>43</v>
      </c>
      <c r="O266" t="s">
        <v>44</v>
      </c>
    </row>
    <row r="267" spans="1:15" x14ac:dyDescent="0.35">
      <c r="A267">
        <v>2255518</v>
      </c>
      <c r="B267" t="s">
        <v>15</v>
      </c>
      <c r="C267" t="s">
        <v>78</v>
      </c>
      <c r="D267">
        <v>56</v>
      </c>
      <c r="E267" t="s">
        <v>35</v>
      </c>
      <c r="F267" s="1">
        <v>42415.224999999999</v>
      </c>
      <c r="G267" t="s">
        <v>361</v>
      </c>
      <c r="H267" t="s">
        <v>97</v>
      </c>
      <c r="I267" t="s">
        <v>517</v>
      </c>
      <c r="J267">
        <v>5</v>
      </c>
      <c r="K267" t="s">
        <v>21</v>
      </c>
      <c r="L267" t="s">
        <v>50</v>
      </c>
      <c r="M267" t="s">
        <v>23</v>
      </c>
      <c r="N267" t="s">
        <v>43</v>
      </c>
      <c r="O267" t="s">
        <v>33</v>
      </c>
    </row>
    <row r="268" spans="1:15" x14ac:dyDescent="0.35">
      <c r="A268">
        <v>2255518</v>
      </c>
      <c r="B268" t="s">
        <v>15</v>
      </c>
      <c r="C268" t="s">
        <v>78</v>
      </c>
      <c r="D268">
        <v>56</v>
      </c>
      <c r="E268" t="s">
        <v>35</v>
      </c>
      <c r="F268" s="1">
        <v>42424.412499999999</v>
      </c>
      <c r="G268" t="s">
        <v>76</v>
      </c>
      <c r="H268" t="s">
        <v>28</v>
      </c>
      <c r="I268" t="s">
        <v>518</v>
      </c>
      <c r="J268">
        <v>9</v>
      </c>
      <c r="K268" t="s">
        <v>30</v>
      </c>
      <c r="L268" t="s">
        <v>50</v>
      </c>
      <c r="M268" t="s">
        <v>23</v>
      </c>
      <c r="N268" t="s">
        <v>43</v>
      </c>
      <c r="O268" t="s">
        <v>33</v>
      </c>
    </row>
    <row r="269" spans="1:15" x14ac:dyDescent="0.35">
      <c r="A269">
        <v>2255518</v>
      </c>
      <c r="B269" t="s">
        <v>15</v>
      </c>
      <c r="C269" t="s">
        <v>78</v>
      </c>
      <c r="D269">
        <v>56</v>
      </c>
      <c r="E269" t="s">
        <v>35</v>
      </c>
      <c r="F269" s="1">
        <v>42381.640972222223</v>
      </c>
      <c r="G269" t="s">
        <v>300</v>
      </c>
      <c r="H269" t="s">
        <v>71</v>
      </c>
      <c r="I269" t="s">
        <v>519</v>
      </c>
      <c r="J269">
        <v>15</v>
      </c>
      <c r="K269" t="s">
        <v>49</v>
      </c>
      <c r="L269" t="s">
        <v>22</v>
      </c>
      <c r="M269" t="s">
        <v>23</v>
      </c>
      <c r="N269" t="s">
        <v>43</v>
      </c>
      <c r="O269" t="s">
        <v>44</v>
      </c>
    </row>
    <row r="270" spans="1:15" x14ac:dyDescent="0.35">
      <c r="A270">
        <v>2255518</v>
      </c>
      <c r="B270" t="s">
        <v>15</v>
      </c>
      <c r="C270" t="s">
        <v>78</v>
      </c>
      <c r="D270">
        <v>56</v>
      </c>
      <c r="E270" t="s">
        <v>35</v>
      </c>
      <c r="F270" s="1">
        <v>42397.40625</v>
      </c>
      <c r="G270" t="s">
        <v>520</v>
      </c>
      <c r="H270" t="s">
        <v>71</v>
      </c>
      <c r="I270" t="s">
        <v>521</v>
      </c>
      <c r="J270">
        <v>9</v>
      </c>
      <c r="K270" t="s">
        <v>63</v>
      </c>
      <c r="L270" t="s">
        <v>22</v>
      </c>
      <c r="M270" t="s">
        <v>23</v>
      </c>
      <c r="N270" t="s">
        <v>43</v>
      </c>
      <c r="O270" t="s">
        <v>33</v>
      </c>
    </row>
    <row r="271" spans="1:15" x14ac:dyDescent="0.35">
      <c r="A271">
        <v>2255518</v>
      </c>
      <c r="B271" t="s">
        <v>15</v>
      </c>
      <c r="C271" t="s">
        <v>78</v>
      </c>
      <c r="D271">
        <v>56</v>
      </c>
      <c r="E271" t="s">
        <v>35</v>
      </c>
      <c r="F271" s="1">
        <v>42372.623611111114</v>
      </c>
      <c r="G271" t="s">
        <v>76</v>
      </c>
      <c r="H271" t="s">
        <v>54</v>
      </c>
      <c r="I271" t="s">
        <v>522</v>
      </c>
      <c r="J271">
        <v>14</v>
      </c>
      <c r="K271" t="s">
        <v>56</v>
      </c>
      <c r="L271" t="s">
        <v>22</v>
      </c>
      <c r="M271" t="s">
        <v>57</v>
      </c>
      <c r="N271" t="s">
        <v>43</v>
      </c>
      <c r="O271" t="s">
        <v>44</v>
      </c>
    </row>
    <row r="272" spans="1:15" x14ac:dyDescent="0.35">
      <c r="A272">
        <v>779410</v>
      </c>
      <c r="B272" t="s">
        <v>38</v>
      </c>
      <c r="C272" t="s">
        <v>16</v>
      </c>
      <c r="D272">
        <v>26</v>
      </c>
      <c r="E272" t="s">
        <v>35</v>
      </c>
      <c r="F272" s="1">
        <v>42390.72152777778</v>
      </c>
      <c r="G272" t="s">
        <v>523</v>
      </c>
      <c r="H272" t="s">
        <v>66</v>
      </c>
      <c r="I272" t="s">
        <v>524</v>
      </c>
      <c r="J272">
        <v>17</v>
      </c>
      <c r="K272" t="s">
        <v>63</v>
      </c>
      <c r="L272" t="s">
        <v>22</v>
      </c>
      <c r="M272" t="s">
        <v>23</v>
      </c>
      <c r="N272" t="s">
        <v>69</v>
      </c>
      <c r="O272" t="s">
        <v>25</v>
      </c>
    </row>
    <row r="273" spans="1:15" x14ac:dyDescent="0.35">
      <c r="A273">
        <v>779410</v>
      </c>
      <c r="B273" t="s">
        <v>38</v>
      </c>
      <c r="C273" t="s">
        <v>16</v>
      </c>
      <c r="D273">
        <v>26</v>
      </c>
      <c r="E273" t="s">
        <v>35</v>
      </c>
      <c r="F273" s="1">
        <v>42403.50277777778</v>
      </c>
      <c r="G273" t="s">
        <v>525</v>
      </c>
      <c r="H273" t="s">
        <v>19</v>
      </c>
      <c r="I273" t="s">
        <v>526</v>
      </c>
      <c r="J273">
        <v>12</v>
      </c>
      <c r="K273" t="s">
        <v>30</v>
      </c>
      <c r="L273" t="s">
        <v>50</v>
      </c>
      <c r="M273" t="s">
        <v>23</v>
      </c>
      <c r="N273" t="s">
        <v>69</v>
      </c>
      <c r="O273" t="s">
        <v>44</v>
      </c>
    </row>
    <row r="274" spans="1:15" x14ac:dyDescent="0.35">
      <c r="A274">
        <v>771830</v>
      </c>
      <c r="B274" t="s">
        <v>15</v>
      </c>
      <c r="C274" t="s">
        <v>78</v>
      </c>
      <c r="D274">
        <v>49</v>
      </c>
      <c r="E274" t="s">
        <v>35</v>
      </c>
      <c r="F274" s="1">
        <v>42370.613194444442</v>
      </c>
      <c r="G274" t="s">
        <v>527</v>
      </c>
      <c r="H274" t="s">
        <v>19</v>
      </c>
      <c r="I274" t="s">
        <v>528</v>
      </c>
      <c r="J274">
        <v>14</v>
      </c>
      <c r="K274" t="s">
        <v>42</v>
      </c>
      <c r="L274" t="s">
        <v>22</v>
      </c>
      <c r="M274" t="s">
        <v>23</v>
      </c>
      <c r="N274" t="s">
        <v>43</v>
      </c>
      <c r="O274" t="s">
        <v>44</v>
      </c>
    </row>
    <row r="275" spans="1:15" x14ac:dyDescent="0.35">
      <c r="A275">
        <v>507286</v>
      </c>
      <c r="B275" t="s">
        <v>38</v>
      </c>
      <c r="C275" t="s">
        <v>26</v>
      </c>
      <c r="D275">
        <v>11</v>
      </c>
      <c r="E275" t="s">
        <v>45</v>
      </c>
      <c r="F275" s="1">
        <v>42371.665972222225</v>
      </c>
      <c r="G275" t="s">
        <v>529</v>
      </c>
      <c r="H275" t="s">
        <v>19</v>
      </c>
      <c r="I275" t="s">
        <v>530</v>
      </c>
      <c r="J275">
        <v>15</v>
      </c>
      <c r="K275" t="s">
        <v>68</v>
      </c>
      <c r="L275" t="s">
        <v>22</v>
      </c>
      <c r="M275" t="s">
        <v>57</v>
      </c>
      <c r="N275" t="s">
        <v>32</v>
      </c>
      <c r="O275" t="s">
        <v>44</v>
      </c>
    </row>
    <row r="276" spans="1:15" x14ac:dyDescent="0.35">
      <c r="A276">
        <v>507286</v>
      </c>
      <c r="B276" t="s">
        <v>38</v>
      </c>
      <c r="C276" t="s">
        <v>26</v>
      </c>
      <c r="D276">
        <v>11</v>
      </c>
      <c r="E276" t="s">
        <v>45</v>
      </c>
      <c r="F276" s="1">
        <v>42373.709027777775</v>
      </c>
      <c r="G276" t="s">
        <v>166</v>
      </c>
      <c r="H276" t="s">
        <v>66</v>
      </c>
      <c r="I276" t="s">
        <v>531</v>
      </c>
      <c r="J276">
        <v>17</v>
      </c>
      <c r="K276" t="s">
        <v>21</v>
      </c>
      <c r="L276" t="s">
        <v>22</v>
      </c>
      <c r="M276" t="s">
        <v>23</v>
      </c>
      <c r="N276" t="s">
        <v>32</v>
      </c>
      <c r="O276" t="s">
        <v>25</v>
      </c>
    </row>
    <row r="277" spans="1:15" x14ac:dyDescent="0.35">
      <c r="A277">
        <v>507286</v>
      </c>
      <c r="B277" t="s">
        <v>38</v>
      </c>
      <c r="C277" t="s">
        <v>26</v>
      </c>
      <c r="D277">
        <v>11</v>
      </c>
      <c r="E277" t="s">
        <v>45</v>
      </c>
      <c r="F277" s="1">
        <v>42373.313194444447</v>
      </c>
      <c r="G277" t="s">
        <v>532</v>
      </c>
      <c r="H277" t="s">
        <v>51</v>
      </c>
      <c r="I277" t="s">
        <v>533</v>
      </c>
      <c r="J277">
        <v>7</v>
      </c>
      <c r="K277" t="s">
        <v>21</v>
      </c>
      <c r="L277" t="s">
        <v>22</v>
      </c>
      <c r="M277" t="s">
        <v>23</v>
      </c>
      <c r="N277" t="s">
        <v>32</v>
      </c>
      <c r="O277" t="s">
        <v>33</v>
      </c>
    </row>
    <row r="278" spans="1:15" x14ac:dyDescent="0.35">
      <c r="A278">
        <v>507286</v>
      </c>
      <c r="B278" t="s">
        <v>38</v>
      </c>
      <c r="C278" t="s">
        <v>26</v>
      </c>
      <c r="D278">
        <v>11</v>
      </c>
      <c r="E278" t="s">
        <v>45</v>
      </c>
      <c r="F278" s="1">
        <v>42373.431250000001</v>
      </c>
      <c r="G278" t="s">
        <v>534</v>
      </c>
      <c r="H278" t="s">
        <v>66</v>
      </c>
      <c r="I278" t="s">
        <v>535</v>
      </c>
      <c r="J278">
        <v>10</v>
      </c>
      <c r="K278" t="s">
        <v>21</v>
      </c>
      <c r="L278" t="s">
        <v>22</v>
      </c>
      <c r="M278" t="s">
        <v>23</v>
      </c>
      <c r="N278" t="s">
        <v>32</v>
      </c>
      <c r="O278" t="s">
        <v>33</v>
      </c>
    </row>
    <row r="279" spans="1:15" x14ac:dyDescent="0.35">
      <c r="A279">
        <v>507286</v>
      </c>
      <c r="B279" t="s">
        <v>38</v>
      </c>
      <c r="C279" t="s">
        <v>26</v>
      </c>
      <c r="D279">
        <v>11</v>
      </c>
      <c r="E279" t="s">
        <v>45</v>
      </c>
      <c r="F279" s="1">
        <v>42370.230555555558</v>
      </c>
      <c r="G279" t="s">
        <v>481</v>
      </c>
      <c r="H279" t="s">
        <v>116</v>
      </c>
      <c r="I279" t="s">
        <v>536</v>
      </c>
      <c r="J279">
        <v>5</v>
      </c>
      <c r="K279" t="s">
        <v>42</v>
      </c>
      <c r="L279" t="s">
        <v>22</v>
      </c>
      <c r="M279" t="s">
        <v>23</v>
      </c>
      <c r="N279" t="s">
        <v>32</v>
      </c>
      <c r="O279" t="s">
        <v>33</v>
      </c>
    </row>
    <row r="280" spans="1:15" x14ac:dyDescent="0.35">
      <c r="A280">
        <v>507286</v>
      </c>
      <c r="B280" t="s">
        <v>38</v>
      </c>
      <c r="C280" t="s">
        <v>26</v>
      </c>
      <c r="D280">
        <v>11</v>
      </c>
      <c r="E280" t="s">
        <v>45</v>
      </c>
      <c r="F280" s="1">
        <v>42372.625</v>
      </c>
      <c r="G280" t="s">
        <v>537</v>
      </c>
      <c r="H280" t="s">
        <v>51</v>
      </c>
      <c r="I280" t="s">
        <v>538</v>
      </c>
      <c r="J280">
        <v>15</v>
      </c>
      <c r="K280" t="s">
        <v>56</v>
      </c>
      <c r="L280" t="s">
        <v>22</v>
      </c>
      <c r="M280" t="s">
        <v>57</v>
      </c>
      <c r="N280" t="s">
        <v>32</v>
      </c>
      <c r="O280" t="s">
        <v>44</v>
      </c>
    </row>
    <row r="281" spans="1:15" x14ac:dyDescent="0.35">
      <c r="A281">
        <v>1293309</v>
      </c>
      <c r="B281" t="s">
        <v>15</v>
      </c>
      <c r="C281" t="s">
        <v>34</v>
      </c>
      <c r="D281">
        <v>30</v>
      </c>
      <c r="E281" t="s">
        <v>134</v>
      </c>
      <c r="F281" s="1">
        <v>42452.460416666669</v>
      </c>
      <c r="G281" t="s">
        <v>76</v>
      </c>
      <c r="H281" t="s">
        <v>28</v>
      </c>
      <c r="I281" t="s">
        <v>539</v>
      </c>
      <c r="J281">
        <v>11</v>
      </c>
      <c r="K281" t="s">
        <v>30</v>
      </c>
      <c r="L281" t="s">
        <v>31</v>
      </c>
      <c r="M281" t="s">
        <v>23</v>
      </c>
      <c r="N281" t="s">
        <v>24</v>
      </c>
      <c r="O281" t="s">
        <v>44</v>
      </c>
    </row>
    <row r="282" spans="1:15" x14ac:dyDescent="0.35">
      <c r="A282">
        <v>939619</v>
      </c>
      <c r="B282" t="s">
        <v>15</v>
      </c>
      <c r="C282" t="s">
        <v>16</v>
      </c>
      <c r="D282">
        <v>50</v>
      </c>
      <c r="E282" t="s">
        <v>17</v>
      </c>
      <c r="F282" s="1">
        <v>42442.456250000003</v>
      </c>
      <c r="G282" t="s">
        <v>361</v>
      </c>
      <c r="H282" t="s">
        <v>225</v>
      </c>
      <c r="I282" t="s">
        <v>540</v>
      </c>
      <c r="J282">
        <v>10</v>
      </c>
      <c r="K282" t="s">
        <v>56</v>
      </c>
      <c r="L282" t="s">
        <v>31</v>
      </c>
      <c r="M282" t="s">
        <v>57</v>
      </c>
      <c r="N282" t="s">
        <v>43</v>
      </c>
      <c r="O282" t="s">
        <v>33</v>
      </c>
    </row>
    <row r="283" spans="1:15" x14ac:dyDescent="0.35">
      <c r="A283">
        <v>939619</v>
      </c>
      <c r="B283" t="s">
        <v>15</v>
      </c>
      <c r="C283" t="s">
        <v>16</v>
      </c>
      <c r="D283">
        <v>50</v>
      </c>
      <c r="E283" t="s">
        <v>17</v>
      </c>
      <c r="F283" s="1">
        <v>42442.371527777781</v>
      </c>
      <c r="G283" t="s">
        <v>405</v>
      </c>
      <c r="H283" t="s">
        <v>86</v>
      </c>
      <c r="I283" t="s">
        <v>541</v>
      </c>
      <c r="J283">
        <v>8</v>
      </c>
      <c r="K283" t="s">
        <v>56</v>
      </c>
      <c r="L283" t="s">
        <v>31</v>
      </c>
      <c r="M283" t="s">
        <v>57</v>
      </c>
      <c r="N283" t="s">
        <v>43</v>
      </c>
      <c r="O283" t="s">
        <v>33</v>
      </c>
    </row>
    <row r="284" spans="1:15" x14ac:dyDescent="0.35">
      <c r="A284">
        <v>988056</v>
      </c>
      <c r="B284" t="s">
        <v>15</v>
      </c>
      <c r="C284" t="s">
        <v>16</v>
      </c>
      <c r="D284">
        <v>37</v>
      </c>
      <c r="E284" t="s">
        <v>17</v>
      </c>
      <c r="F284" s="1">
        <v>42460.732638888891</v>
      </c>
      <c r="G284" t="s">
        <v>76</v>
      </c>
      <c r="H284" t="s">
        <v>91</v>
      </c>
      <c r="I284" t="s">
        <v>542</v>
      </c>
      <c r="J284">
        <v>17</v>
      </c>
      <c r="K284" t="s">
        <v>63</v>
      </c>
      <c r="L284" t="s">
        <v>31</v>
      </c>
      <c r="M284" t="s">
        <v>23</v>
      </c>
      <c r="N284" t="s">
        <v>24</v>
      </c>
      <c r="O284" t="s">
        <v>25</v>
      </c>
    </row>
    <row r="285" spans="1:15" x14ac:dyDescent="0.35">
      <c r="A285">
        <v>18031</v>
      </c>
      <c r="B285" t="s">
        <v>38</v>
      </c>
      <c r="C285" t="s">
        <v>78</v>
      </c>
      <c r="D285">
        <v>37</v>
      </c>
      <c r="E285" t="s">
        <v>35</v>
      </c>
      <c r="F285" s="1">
        <v>42397.78402777778</v>
      </c>
      <c r="G285" t="s">
        <v>36</v>
      </c>
      <c r="H285" t="s">
        <v>71</v>
      </c>
      <c r="I285" t="s">
        <v>543</v>
      </c>
      <c r="J285">
        <v>18</v>
      </c>
      <c r="K285" t="s">
        <v>63</v>
      </c>
      <c r="L285" t="s">
        <v>22</v>
      </c>
      <c r="M285" t="s">
        <v>23</v>
      </c>
      <c r="N285" t="s">
        <v>24</v>
      </c>
      <c r="O285" t="s">
        <v>25</v>
      </c>
    </row>
    <row r="286" spans="1:15" x14ac:dyDescent="0.35">
      <c r="A286">
        <v>18031</v>
      </c>
      <c r="B286" t="s">
        <v>38</v>
      </c>
      <c r="C286" t="s">
        <v>78</v>
      </c>
      <c r="D286">
        <v>37</v>
      </c>
      <c r="E286" t="s">
        <v>35</v>
      </c>
      <c r="F286" s="1">
        <v>42375.958333333336</v>
      </c>
      <c r="G286" t="s">
        <v>544</v>
      </c>
      <c r="H286" t="s">
        <v>116</v>
      </c>
      <c r="I286" t="s">
        <v>545</v>
      </c>
      <c r="J286">
        <v>23</v>
      </c>
      <c r="K286" t="s">
        <v>30</v>
      </c>
      <c r="L286" t="s">
        <v>22</v>
      </c>
      <c r="M286" t="s">
        <v>23</v>
      </c>
      <c r="N286" t="s">
        <v>24</v>
      </c>
      <c r="O286" t="s">
        <v>104</v>
      </c>
    </row>
    <row r="287" spans="1:15" x14ac:dyDescent="0.35">
      <c r="A287">
        <v>808958</v>
      </c>
      <c r="B287" t="s">
        <v>15</v>
      </c>
      <c r="C287" t="s">
        <v>78</v>
      </c>
      <c r="D287">
        <v>25</v>
      </c>
      <c r="E287" t="s">
        <v>35</v>
      </c>
      <c r="F287" s="1">
        <v>42421.717361111114</v>
      </c>
      <c r="G287" t="s">
        <v>546</v>
      </c>
      <c r="H287" t="s">
        <v>86</v>
      </c>
      <c r="I287" t="s">
        <v>547</v>
      </c>
      <c r="J287">
        <v>17</v>
      </c>
      <c r="K287" t="s">
        <v>56</v>
      </c>
      <c r="L287" t="s">
        <v>50</v>
      </c>
      <c r="M287" t="s">
        <v>57</v>
      </c>
      <c r="N287" t="s">
        <v>69</v>
      </c>
      <c r="O287" t="s">
        <v>25</v>
      </c>
    </row>
    <row r="288" spans="1:15" x14ac:dyDescent="0.35">
      <c r="A288">
        <v>808958</v>
      </c>
      <c r="B288" t="s">
        <v>15</v>
      </c>
      <c r="C288" t="s">
        <v>78</v>
      </c>
      <c r="D288">
        <v>25</v>
      </c>
      <c r="E288" t="s">
        <v>35</v>
      </c>
      <c r="F288" s="1">
        <v>42420.55972222222</v>
      </c>
      <c r="G288" t="s">
        <v>450</v>
      </c>
      <c r="H288" t="s">
        <v>19</v>
      </c>
      <c r="I288" t="s">
        <v>548</v>
      </c>
      <c r="J288">
        <v>13</v>
      </c>
      <c r="K288" t="s">
        <v>68</v>
      </c>
      <c r="L288" t="s">
        <v>50</v>
      </c>
      <c r="M288" t="s">
        <v>57</v>
      </c>
      <c r="N288" t="s">
        <v>69</v>
      </c>
      <c r="O288" t="s">
        <v>44</v>
      </c>
    </row>
    <row r="289" spans="1:15" x14ac:dyDescent="0.35">
      <c r="A289">
        <v>808958</v>
      </c>
      <c r="B289" t="s">
        <v>15</v>
      </c>
      <c r="C289" t="s">
        <v>78</v>
      </c>
      <c r="D289">
        <v>25</v>
      </c>
      <c r="E289" t="s">
        <v>35</v>
      </c>
      <c r="F289" s="1">
        <v>42420.718055555553</v>
      </c>
      <c r="G289" t="s">
        <v>371</v>
      </c>
      <c r="H289" t="s">
        <v>54</v>
      </c>
      <c r="I289" t="s">
        <v>549</v>
      </c>
      <c r="J289">
        <v>17</v>
      </c>
      <c r="K289" t="s">
        <v>68</v>
      </c>
      <c r="L289" t="s">
        <v>50</v>
      </c>
      <c r="M289" t="s">
        <v>57</v>
      </c>
      <c r="N289" t="s">
        <v>69</v>
      </c>
      <c r="O289" t="s">
        <v>25</v>
      </c>
    </row>
    <row r="290" spans="1:15" x14ac:dyDescent="0.35">
      <c r="A290">
        <v>808958</v>
      </c>
      <c r="B290" t="s">
        <v>15</v>
      </c>
      <c r="C290" t="s">
        <v>78</v>
      </c>
      <c r="D290">
        <v>25</v>
      </c>
      <c r="E290" t="s">
        <v>35</v>
      </c>
      <c r="F290" s="1">
        <v>42431.381944444445</v>
      </c>
      <c r="G290" t="s">
        <v>550</v>
      </c>
      <c r="H290" t="s">
        <v>51</v>
      </c>
      <c r="I290" t="s">
        <v>551</v>
      </c>
      <c r="J290">
        <v>9</v>
      </c>
      <c r="K290" t="s">
        <v>30</v>
      </c>
      <c r="L290" t="s">
        <v>31</v>
      </c>
      <c r="M290" t="s">
        <v>23</v>
      </c>
      <c r="N290" t="s">
        <v>69</v>
      </c>
      <c r="O290" t="s">
        <v>33</v>
      </c>
    </row>
    <row r="291" spans="1:15" x14ac:dyDescent="0.35">
      <c r="A291">
        <v>808958</v>
      </c>
      <c r="B291" t="s">
        <v>15</v>
      </c>
      <c r="C291" t="s">
        <v>78</v>
      </c>
      <c r="D291">
        <v>25</v>
      </c>
      <c r="E291" t="s">
        <v>35</v>
      </c>
      <c r="F291" s="1">
        <v>42421.580555555556</v>
      </c>
      <c r="G291" t="s">
        <v>552</v>
      </c>
      <c r="H291" t="s">
        <v>66</v>
      </c>
      <c r="I291" t="s">
        <v>553</v>
      </c>
      <c r="J291">
        <v>13</v>
      </c>
      <c r="K291" t="s">
        <v>56</v>
      </c>
      <c r="L291" t="s">
        <v>50</v>
      </c>
      <c r="M291" t="s">
        <v>57</v>
      </c>
      <c r="N291" t="s">
        <v>69</v>
      </c>
      <c r="O291" t="s">
        <v>44</v>
      </c>
    </row>
    <row r="292" spans="1:15" x14ac:dyDescent="0.35">
      <c r="A292">
        <v>808958</v>
      </c>
      <c r="B292" t="s">
        <v>15</v>
      </c>
      <c r="C292" t="s">
        <v>78</v>
      </c>
      <c r="D292">
        <v>25</v>
      </c>
      <c r="E292" t="s">
        <v>35</v>
      </c>
      <c r="F292" s="1">
        <v>42424.76458333333</v>
      </c>
      <c r="G292" t="s">
        <v>554</v>
      </c>
      <c r="H292" t="s">
        <v>19</v>
      </c>
      <c r="I292" t="s">
        <v>555</v>
      </c>
      <c r="J292">
        <v>18</v>
      </c>
      <c r="K292" t="s">
        <v>30</v>
      </c>
      <c r="L292" t="s">
        <v>50</v>
      </c>
      <c r="M292" t="s">
        <v>23</v>
      </c>
      <c r="N292" t="s">
        <v>69</v>
      </c>
      <c r="O292" t="s">
        <v>25</v>
      </c>
    </row>
    <row r="293" spans="1:15" x14ac:dyDescent="0.35">
      <c r="A293">
        <v>808958</v>
      </c>
      <c r="B293" t="s">
        <v>15</v>
      </c>
      <c r="C293" t="s">
        <v>78</v>
      </c>
      <c r="D293">
        <v>25</v>
      </c>
      <c r="E293" t="s">
        <v>35</v>
      </c>
      <c r="F293" s="1">
        <v>42424.443055555559</v>
      </c>
      <c r="G293" t="s">
        <v>384</v>
      </c>
      <c r="H293" t="s">
        <v>66</v>
      </c>
      <c r="I293" t="s">
        <v>556</v>
      </c>
      <c r="J293">
        <v>10</v>
      </c>
      <c r="K293" t="s">
        <v>30</v>
      </c>
      <c r="L293" t="s">
        <v>50</v>
      </c>
      <c r="M293" t="s">
        <v>23</v>
      </c>
      <c r="N293" t="s">
        <v>69</v>
      </c>
      <c r="O293" t="s">
        <v>33</v>
      </c>
    </row>
    <row r="294" spans="1:15" x14ac:dyDescent="0.35">
      <c r="A294">
        <v>808958</v>
      </c>
      <c r="B294" t="s">
        <v>15</v>
      </c>
      <c r="C294" t="s">
        <v>78</v>
      </c>
      <c r="D294">
        <v>25</v>
      </c>
      <c r="E294" t="s">
        <v>35</v>
      </c>
      <c r="F294" s="1">
        <v>42430.78402777778</v>
      </c>
      <c r="G294" t="s">
        <v>65</v>
      </c>
      <c r="H294" t="s">
        <v>51</v>
      </c>
      <c r="I294" t="s">
        <v>557</v>
      </c>
      <c r="J294">
        <v>18</v>
      </c>
      <c r="K294" t="s">
        <v>49</v>
      </c>
      <c r="L294" t="s">
        <v>31</v>
      </c>
      <c r="M294" t="s">
        <v>23</v>
      </c>
      <c r="N294" t="s">
        <v>69</v>
      </c>
      <c r="O294" t="s">
        <v>25</v>
      </c>
    </row>
    <row r="295" spans="1:15" x14ac:dyDescent="0.35">
      <c r="A295">
        <v>840343</v>
      </c>
      <c r="B295" t="s">
        <v>15</v>
      </c>
      <c r="C295" t="s">
        <v>39</v>
      </c>
      <c r="D295">
        <v>36</v>
      </c>
      <c r="E295" t="s">
        <v>134</v>
      </c>
      <c r="F295" s="1">
        <v>42434.775694444441</v>
      </c>
      <c r="G295" t="s">
        <v>558</v>
      </c>
      <c r="H295" t="s">
        <v>19</v>
      </c>
      <c r="I295" t="s">
        <v>559</v>
      </c>
      <c r="J295">
        <v>18</v>
      </c>
      <c r="K295" t="s">
        <v>68</v>
      </c>
      <c r="L295" t="s">
        <v>31</v>
      </c>
      <c r="M295" t="s">
        <v>57</v>
      </c>
      <c r="N295" t="s">
        <v>24</v>
      </c>
      <c r="O295" t="s">
        <v>25</v>
      </c>
    </row>
    <row r="296" spans="1:15" x14ac:dyDescent="0.35">
      <c r="A296">
        <v>1106156</v>
      </c>
      <c r="B296" t="s">
        <v>15</v>
      </c>
      <c r="C296" t="s">
        <v>39</v>
      </c>
      <c r="D296">
        <v>18</v>
      </c>
      <c r="E296" t="s">
        <v>75</v>
      </c>
      <c r="F296" s="1">
        <v>42460.844444444447</v>
      </c>
      <c r="G296" t="s">
        <v>560</v>
      </c>
      <c r="H296" t="s">
        <v>86</v>
      </c>
      <c r="I296" t="s">
        <v>561</v>
      </c>
      <c r="J296">
        <v>20</v>
      </c>
      <c r="K296" t="s">
        <v>63</v>
      </c>
      <c r="L296" t="s">
        <v>31</v>
      </c>
      <c r="M296" t="s">
        <v>23</v>
      </c>
      <c r="N296" t="s">
        <v>69</v>
      </c>
      <c r="O296" t="s">
        <v>25</v>
      </c>
    </row>
    <row r="297" spans="1:15" x14ac:dyDescent="0.35">
      <c r="A297">
        <v>793616</v>
      </c>
      <c r="B297" t="s">
        <v>15</v>
      </c>
      <c r="C297" t="s">
        <v>39</v>
      </c>
      <c r="D297">
        <v>29</v>
      </c>
      <c r="E297" t="s">
        <v>35</v>
      </c>
      <c r="F297" s="1">
        <v>42394.174305555556</v>
      </c>
      <c r="G297" t="s">
        <v>166</v>
      </c>
      <c r="H297" t="s">
        <v>116</v>
      </c>
      <c r="I297" t="s">
        <v>562</v>
      </c>
      <c r="J297">
        <v>4</v>
      </c>
      <c r="K297" t="s">
        <v>21</v>
      </c>
      <c r="L297" t="s">
        <v>22</v>
      </c>
      <c r="M297" t="s">
        <v>23</v>
      </c>
      <c r="N297" t="s">
        <v>24</v>
      </c>
      <c r="O297" t="s">
        <v>58</v>
      </c>
    </row>
    <row r="298" spans="1:15" x14ac:dyDescent="0.35">
      <c r="A298">
        <v>793616</v>
      </c>
      <c r="B298" t="s">
        <v>15</v>
      </c>
      <c r="C298" t="s">
        <v>39</v>
      </c>
      <c r="D298">
        <v>29</v>
      </c>
      <c r="E298" t="s">
        <v>35</v>
      </c>
      <c r="F298" s="1">
        <v>42393.594444444447</v>
      </c>
      <c r="G298" t="s">
        <v>563</v>
      </c>
      <c r="H298" t="s">
        <v>106</v>
      </c>
      <c r="I298" t="s">
        <v>564</v>
      </c>
      <c r="J298">
        <v>14</v>
      </c>
      <c r="K298" t="s">
        <v>56</v>
      </c>
      <c r="L298" t="s">
        <v>22</v>
      </c>
      <c r="M298" t="s">
        <v>57</v>
      </c>
      <c r="N298" t="s">
        <v>24</v>
      </c>
      <c r="O298" t="s">
        <v>44</v>
      </c>
    </row>
    <row r="299" spans="1:15" x14ac:dyDescent="0.35">
      <c r="A299">
        <v>939622</v>
      </c>
      <c r="B299" t="s">
        <v>15</v>
      </c>
      <c r="C299" t="s">
        <v>39</v>
      </c>
      <c r="D299">
        <v>38</v>
      </c>
      <c r="E299" t="s">
        <v>75</v>
      </c>
      <c r="F299" s="1">
        <v>42456.974305555559</v>
      </c>
      <c r="G299" t="s">
        <v>481</v>
      </c>
      <c r="H299" t="s">
        <v>51</v>
      </c>
      <c r="I299" t="s">
        <v>565</v>
      </c>
      <c r="J299">
        <v>23</v>
      </c>
      <c r="K299" t="s">
        <v>56</v>
      </c>
      <c r="L299" t="s">
        <v>31</v>
      </c>
      <c r="M299" t="s">
        <v>57</v>
      </c>
      <c r="N299" t="s">
        <v>24</v>
      </c>
      <c r="O299" t="s">
        <v>104</v>
      </c>
    </row>
    <row r="300" spans="1:15" x14ac:dyDescent="0.35">
      <c r="A300">
        <v>939622</v>
      </c>
      <c r="B300" t="s">
        <v>15</v>
      </c>
      <c r="C300" t="s">
        <v>39</v>
      </c>
      <c r="D300">
        <v>38</v>
      </c>
      <c r="E300" t="s">
        <v>75</v>
      </c>
      <c r="F300" s="1">
        <v>42457.551388888889</v>
      </c>
      <c r="G300" t="s">
        <v>520</v>
      </c>
      <c r="H300" t="s">
        <v>102</v>
      </c>
      <c r="I300" t="s">
        <v>566</v>
      </c>
      <c r="J300">
        <v>13</v>
      </c>
      <c r="K300" t="s">
        <v>21</v>
      </c>
      <c r="L300" t="s">
        <v>31</v>
      </c>
      <c r="M300" t="s">
        <v>23</v>
      </c>
      <c r="N300" t="s">
        <v>24</v>
      </c>
      <c r="O300" t="s">
        <v>44</v>
      </c>
    </row>
    <row r="301" spans="1:15" x14ac:dyDescent="0.35">
      <c r="A301">
        <v>939622</v>
      </c>
      <c r="B301" t="s">
        <v>15</v>
      </c>
      <c r="C301" t="s">
        <v>39</v>
      </c>
      <c r="D301">
        <v>38</v>
      </c>
      <c r="E301" t="s">
        <v>75</v>
      </c>
      <c r="F301" s="1">
        <v>42459.561805555553</v>
      </c>
      <c r="G301" t="s">
        <v>567</v>
      </c>
      <c r="H301" t="s">
        <v>116</v>
      </c>
      <c r="I301" t="s">
        <v>568</v>
      </c>
      <c r="J301">
        <v>13</v>
      </c>
      <c r="K301" t="s">
        <v>30</v>
      </c>
      <c r="L301" t="s">
        <v>31</v>
      </c>
      <c r="M301" t="s">
        <v>23</v>
      </c>
      <c r="N301" t="s">
        <v>24</v>
      </c>
      <c r="O301" t="s">
        <v>44</v>
      </c>
    </row>
    <row r="302" spans="1:15" x14ac:dyDescent="0.35">
      <c r="A302">
        <v>868925</v>
      </c>
      <c r="B302" t="s">
        <v>15</v>
      </c>
      <c r="C302" t="s">
        <v>34</v>
      </c>
      <c r="D302">
        <v>28</v>
      </c>
      <c r="E302" t="s">
        <v>35</v>
      </c>
      <c r="F302" s="1">
        <v>42437.435416666667</v>
      </c>
      <c r="G302" t="s">
        <v>178</v>
      </c>
      <c r="H302" t="s">
        <v>86</v>
      </c>
      <c r="I302" t="s">
        <v>569</v>
      </c>
      <c r="J302">
        <v>10</v>
      </c>
      <c r="K302" t="s">
        <v>49</v>
      </c>
      <c r="L302" t="s">
        <v>31</v>
      </c>
      <c r="M302" t="s">
        <v>23</v>
      </c>
      <c r="N302" t="s">
        <v>69</v>
      </c>
      <c r="O302" t="s">
        <v>33</v>
      </c>
    </row>
    <row r="303" spans="1:15" x14ac:dyDescent="0.35">
      <c r="A303">
        <v>764342</v>
      </c>
      <c r="B303" t="s">
        <v>15</v>
      </c>
      <c r="C303" t="s">
        <v>39</v>
      </c>
      <c r="D303">
        <v>38</v>
      </c>
      <c r="E303" t="s">
        <v>45</v>
      </c>
      <c r="F303" s="1">
        <v>42402.257638888892</v>
      </c>
      <c r="G303" t="s">
        <v>570</v>
      </c>
      <c r="H303" t="s">
        <v>86</v>
      </c>
      <c r="I303" t="s">
        <v>571</v>
      </c>
      <c r="J303">
        <v>6</v>
      </c>
      <c r="K303" t="s">
        <v>49</v>
      </c>
      <c r="L303" t="s">
        <v>50</v>
      </c>
      <c r="M303" t="s">
        <v>23</v>
      </c>
      <c r="N303" t="s">
        <v>24</v>
      </c>
      <c r="O303" t="s">
        <v>33</v>
      </c>
    </row>
    <row r="304" spans="1:15" x14ac:dyDescent="0.35">
      <c r="A304">
        <v>808961</v>
      </c>
      <c r="B304" t="s">
        <v>15</v>
      </c>
      <c r="C304" t="s">
        <v>34</v>
      </c>
      <c r="D304">
        <v>27</v>
      </c>
      <c r="E304" t="s">
        <v>35</v>
      </c>
      <c r="F304" s="1">
        <v>42420.07708333333</v>
      </c>
      <c r="G304" t="s">
        <v>572</v>
      </c>
      <c r="H304" t="s">
        <v>51</v>
      </c>
      <c r="I304" t="s">
        <v>573</v>
      </c>
      <c r="J304">
        <v>1</v>
      </c>
      <c r="K304" t="s">
        <v>68</v>
      </c>
      <c r="L304" t="s">
        <v>50</v>
      </c>
      <c r="M304" t="s">
        <v>57</v>
      </c>
      <c r="N304" t="s">
        <v>69</v>
      </c>
      <c r="O304" t="s">
        <v>58</v>
      </c>
    </row>
    <row r="305" spans="1:15" x14ac:dyDescent="0.35">
      <c r="A305">
        <v>808961</v>
      </c>
      <c r="B305" t="s">
        <v>15</v>
      </c>
      <c r="C305" t="s">
        <v>34</v>
      </c>
      <c r="D305">
        <v>27</v>
      </c>
      <c r="E305" t="s">
        <v>35</v>
      </c>
      <c r="F305" s="1">
        <v>42422.683333333334</v>
      </c>
      <c r="G305" t="s">
        <v>574</v>
      </c>
      <c r="H305" t="s">
        <v>51</v>
      </c>
      <c r="I305" t="s">
        <v>575</v>
      </c>
      <c r="J305">
        <v>16</v>
      </c>
      <c r="K305" t="s">
        <v>21</v>
      </c>
      <c r="L305" t="s">
        <v>50</v>
      </c>
      <c r="M305" t="s">
        <v>23</v>
      </c>
      <c r="N305" t="s">
        <v>69</v>
      </c>
      <c r="O305" t="s">
        <v>44</v>
      </c>
    </row>
    <row r="306" spans="1:15" x14ac:dyDescent="0.35">
      <c r="A306">
        <v>853655</v>
      </c>
      <c r="B306" t="s">
        <v>15</v>
      </c>
      <c r="C306" t="s">
        <v>78</v>
      </c>
      <c r="D306">
        <v>20</v>
      </c>
      <c r="E306" t="s">
        <v>35</v>
      </c>
      <c r="F306" s="1">
        <v>42416.65625</v>
      </c>
      <c r="G306" t="s">
        <v>76</v>
      </c>
      <c r="H306" t="s">
        <v>47</v>
      </c>
      <c r="I306" t="s">
        <v>576</v>
      </c>
      <c r="J306">
        <v>15</v>
      </c>
      <c r="K306" t="s">
        <v>49</v>
      </c>
      <c r="L306" t="s">
        <v>50</v>
      </c>
      <c r="M306" t="s">
        <v>23</v>
      </c>
      <c r="N306" t="s">
        <v>69</v>
      </c>
      <c r="O306" t="s">
        <v>44</v>
      </c>
    </row>
    <row r="307" spans="1:15" x14ac:dyDescent="0.35">
      <c r="A307">
        <v>939624</v>
      </c>
      <c r="B307" t="s">
        <v>15</v>
      </c>
      <c r="C307" t="s">
        <v>78</v>
      </c>
      <c r="D307">
        <v>19</v>
      </c>
      <c r="E307" t="s">
        <v>35</v>
      </c>
      <c r="F307" s="1">
        <v>42451.784722222219</v>
      </c>
      <c r="G307" t="s">
        <v>577</v>
      </c>
      <c r="H307" t="s">
        <v>19</v>
      </c>
      <c r="I307" t="s">
        <v>271</v>
      </c>
      <c r="J307">
        <v>18</v>
      </c>
      <c r="K307" t="s">
        <v>49</v>
      </c>
      <c r="L307" t="s">
        <v>31</v>
      </c>
      <c r="M307" t="s">
        <v>23</v>
      </c>
      <c r="N307" t="s">
        <v>69</v>
      </c>
      <c r="O307" t="s">
        <v>25</v>
      </c>
    </row>
    <row r="308" spans="1:15" x14ac:dyDescent="0.35">
      <c r="A308">
        <v>939624</v>
      </c>
      <c r="B308" t="s">
        <v>15</v>
      </c>
      <c r="C308" t="s">
        <v>78</v>
      </c>
      <c r="D308">
        <v>19</v>
      </c>
      <c r="E308" t="s">
        <v>35</v>
      </c>
      <c r="F308" s="1">
        <v>42449.441666666666</v>
      </c>
      <c r="G308" t="s">
        <v>578</v>
      </c>
      <c r="H308" t="s">
        <v>179</v>
      </c>
      <c r="I308" t="s">
        <v>579</v>
      </c>
      <c r="J308">
        <v>10</v>
      </c>
      <c r="K308" t="s">
        <v>56</v>
      </c>
      <c r="L308" t="s">
        <v>31</v>
      </c>
      <c r="M308" t="s">
        <v>57</v>
      </c>
      <c r="N308" t="s">
        <v>69</v>
      </c>
      <c r="O308" t="s">
        <v>33</v>
      </c>
    </row>
    <row r="309" spans="1:15" x14ac:dyDescent="0.35">
      <c r="A309">
        <v>939624</v>
      </c>
      <c r="B309" t="s">
        <v>15</v>
      </c>
      <c r="C309" t="s">
        <v>78</v>
      </c>
      <c r="D309">
        <v>19</v>
      </c>
      <c r="E309" t="s">
        <v>35</v>
      </c>
      <c r="F309" s="1">
        <v>42449.447222222225</v>
      </c>
      <c r="G309" t="s">
        <v>580</v>
      </c>
      <c r="H309" t="s">
        <v>179</v>
      </c>
      <c r="I309" t="s">
        <v>581</v>
      </c>
      <c r="J309">
        <v>10</v>
      </c>
      <c r="K309" t="s">
        <v>56</v>
      </c>
      <c r="L309" t="s">
        <v>31</v>
      </c>
      <c r="M309" t="s">
        <v>57</v>
      </c>
      <c r="N309" t="s">
        <v>69</v>
      </c>
      <c r="O309" t="s">
        <v>33</v>
      </c>
    </row>
    <row r="310" spans="1:15" x14ac:dyDescent="0.35">
      <c r="A310">
        <v>939624</v>
      </c>
      <c r="B310" t="s">
        <v>15</v>
      </c>
      <c r="C310" t="s">
        <v>78</v>
      </c>
      <c r="D310">
        <v>19</v>
      </c>
      <c r="E310" t="s">
        <v>35</v>
      </c>
      <c r="F310" s="1">
        <v>42460.883333333331</v>
      </c>
      <c r="G310" t="s">
        <v>76</v>
      </c>
      <c r="H310" t="s">
        <v>51</v>
      </c>
      <c r="I310" t="s">
        <v>582</v>
      </c>
      <c r="J310">
        <v>21</v>
      </c>
      <c r="K310" t="s">
        <v>63</v>
      </c>
      <c r="L310" t="s">
        <v>31</v>
      </c>
      <c r="M310" t="s">
        <v>23</v>
      </c>
      <c r="N310" t="s">
        <v>69</v>
      </c>
      <c r="O310" t="s">
        <v>25</v>
      </c>
    </row>
    <row r="311" spans="1:15" x14ac:dyDescent="0.35">
      <c r="A311">
        <v>939624</v>
      </c>
      <c r="B311" t="s">
        <v>15</v>
      </c>
      <c r="C311" t="s">
        <v>78</v>
      </c>
      <c r="D311">
        <v>19</v>
      </c>
      <c r="E311" t="s">
        <v>35</v>
      </c>
      <c r="F311" s="1">
        <v>42460.890277777777</v>
      </c>
      <c r="G311" t="s">
        <v>583</v>
      </c>
      <c r="H311" t="s">
        <v>19</v>
      </c>
      <c r="I311" t="s">
        <v>584</v>
      </c>
      <c r="J311">
        <v>21</v>
      </c>
      <c r="K311" t="s">
        <v>63</v>
      </c>
      <c r="L311" t="s">
        <v>31</v>
      </c>
      <c r="M311" t="s">
        <v>23</v>
      </c>
      <c r="N311" t="s">
        <v>69</v>
      </c>
      <c r="O311" t="s">
        <v>25</v>
      </c>
    </row>
    <row r="312" spans="1:15" x14ac:dyDescent="0.35">
      <c r="A312">
        <v>939624</v>
      </c>
      <c r="B312" t="s">
        <v>15</v>
      </c>
      <c r="C312" t="s">
        <v>78</v>
      </c>
      <c r="D312">
        <v>19</v>
      </c>
      <c r="E312" t="s">
        <v>35</v>
      </c>
      <c r="F312" s="1">
        <v>42445.713194444441</v>
      </c>
      <c r="G312" t="s">
        <v>108</v>
      </c>
      <c r="H312" t="s">
        <v>179</v>
      </c>
      <c r="I312" t="s">
        <v>585</v>
      </c>
      <c r="J312">
        <v>17</v>
      </c>
      <c r="K312" t="s">
        <v>30</v>
      </c>
      <c r="L312" t="s">
        <v>31</v>
      </c>
      <c r="M312" t="s">
        <v>23</v>
      </c>
      <c r="N312" t="s">
        <v>69</v>
      </c>
      <c r="O312" t="s">
        <v>25</v>
      </c>
    </row>
    <row r="313" spans="1:15" x14ac:dyDescent="0.35">
      <c r="A313">
        <v>2203312</v>
      </c>
      <c r="B313" t="s">
        <v>15</v>
      </c>
      <c r="C313" t="s">
        <v>16</v>
      </c>
      <c r="D313">
        <v>54</v>
      </c>
      <c r="E313" t="s">
        <v>17</v>
      </c>
      <c r="F313" s="1">
        <v>42460.865277777775</v>
      </c>
      <c r="G313" t="s">
        <v>470</v>
      </c>
      <c r="H313" t="s">
        <v>179</v>
      </c>
      <c r="I313" t="s">
        <v>586</v>
      </c>
      <c r="J313">
        <v>20</v>
      </c>
      <c r="K313" t="s">
        <v>63</v>
      </c>
      <c r="L313" t="s">
        <v>31</v>
      </c>
      <c r="M313" t="s">
        <v>23</v>
      </c>
      <c r="N313" t="s">
        <v>43</v>
      </c>
      <c r="O313" t="s">
        <v>25</v>
      </c>
    </row>
    <row r="314" spans="1:15" x14ac:dyDescent="0.35">
      <c r="A314">
        <v>808965</v>
      </c>
      <c r="B314" t="s">
        <v>15</v>
      </c>
      <c r="C314" t="s">
        <v>16</v>
      </c>
      <c r="D314">
        <v>36</v>
      </c>
      <c r="E314" t="s">
        <v>17</v>
      </c>
      <c r="F314" s="1">
        <v>42418.371527777781</v>
      </c>
      <c r="G314" t="s">
        <v>40</v>
      </c>
      <c r="H314" t="s">
        <v>86</v>
      </c>
      <c r="I314" t="s">
        <v>587</v>
      </c>
      <c r="J314">
        <v>8</v>
      </c>
      <c r="K314" t="s">
        <v>63</v>
      </c>
      <c r="L314" t="s">
        <v>50</v>
      </c>
      <c r="M314" t="s">
        <v>23</v>
      </c>
      <c r="N314" t="s">
        <v>24</v>
      </c>
      <c r="O314" t="s">
        <v>33</v>
      </c>
    </row>
    <row r="315" spans="1:15" x14ac:dyDescent="0.35">
      <c r="A315">
        <v>808965</v>
      </c>
      <c r="B315" t="s">
        <v>15</v>
      </c>
      <c r="C315" t="s">
        <v>16</v>
      </c>
      <c r="D315">
        <v>36</v>
      </c>
      <c r="E315" t="s">
        <v>17</v>
      </c>
      <c r="F315" s="1">
        <v>42415.829861111109</v>
      </c>
      <c r="G315" t="s">
        <v>527</v>
      </c>
      <c r="H315" t="s">
        <v>71</v>
      </c>
      <c r="I315" t="s">
        <v>588</v>
      </c>
      <c r="J315">
        <v>19</v>
      </c>
      <c r="K315" t="s">
        <v>21</v>
      </c>
      <c r="L315" t="s">
        <v>50</v>
      </c>
      <c r="M315" t="s">
        <v>23</v>
      </c>
      <c r="N315" t="s">
        <v>24</v>
      </c>
      <c r="O315" t="s">
        <v>25</v>
      </c>
    </row>
    <row r="316" spans="1:15" x14ac:dyDescent="0.35">
      <c r="A316">
        <v>808965</v>
      </c>
      <c r="B316" t="s">
        <v>15</v>
      </c>
      <c r="C316" t="s">
        <v>16</v>
      </c>
      <c r="D316">
        <v>36</v>
      </c>
      <c r="E316" t="s">
        <v>17</v>
      </c>
      <c r="F316" s="1">
        <v>42424.509722222225</v>
      </c>
      <c r="G316" t="s">
        <v>589</v>
      </c>
      <c r="H316" t="s">
        <v>28</v>
      </c>
      <c r="I316" t="s">
        <v>590</v>
      </c>
      <c r="J316">
        <v>12</v>
      </c>
      <c r="K316" t="s">
        <v>30</v>
      </c>
      <c r="L316" t="s">
        <v>50</v>
      </c>
      <c r="M316" t="s">
        <v>23</v>
      </c>
      <c r="N316" t="s">
        <v>24</v>
      </c>
      <c r="O316" t="s">
        <v>44</v>
      </c>
    </row>
    <row r="317" spans="1:15" x14ac:dyDescent="0.35">
      <c r="A317">
        <v>808965</v>
      </c>
      <c r="B317" t="s">
        <v>15</v>
      </c>
      <c r="C317" t="s">
        <v>16</v>
      </c>
      <c r="D317">
        <v>36</v>
      </c>
      <c r="E317" t="s">
        <v>17</v>
      </c>
      <c r="F317" s="1">
        <v>42418.280555555553</v>
      </c>
      <c r="G317" t="s">
        <v>420</v>
      </c>
      <c r="H317" t="s">
        <v>71</v>
      </c>
      <c r="I317" t="s">
        <v>591</v>
      </c>
      <c r="J317">
        <v>6</v>
      </c>
      <c r="K317" t="s">
        <v>63</v>
      </c>
      <c r="L317" t="s">
        <v>50</v>
      </c>
      <c r="M317" t="s">
        <v>23</v>
      </c>
      <c r="N317" t="s">
        <v>24</v>
      </c>
      <c r="O317" t="s">
        <v>33</v>
      </c>
    </row>
    <row r="318" spans="1:15" x14ac:dyDescent="0.35">
      <c r="A318">
        <v>808965</v>
      </c>
      <c r="B318" t="s">
        <v>15</v>
      </c>
      <c r="C318" t="s">
        <v>16</v>
      </c>
      <c r="D318">
        <v>36</v>
      </c>
      <c r="E318" t="s">
        <v>17</v>
      </c>
      <c r="F318" s="1">
        <v>42406.279166666667</v>
      </c>
      <c r="G318" t="s">
        <v>441</v>
      </c>
      <c r="H318" t="s">
        <v>71</v>
      </c>
      <c r="I318" t="s">
        <v>592</v>
      </c>
      <c r="J318">
        <v>6</v>
      </c>
      <c r="K318" t="s">
        <v>68</v>
      </c>
      <c r="L318" t="s">
        <v>50</v>
      </c>
      <c r="M318" t="s">
        <v>57</v>
      </c>
      <c r="N318" t="s">
        <v>24</v>
      </c>
      <c r="O318" t="s">
        <v>33</v>
      </c>
    </row>
    <row r="319" spans="1:15" x14ac:dyDescent="0.35">
      <c r="A319">
        <v>808965</v>
      </c>
      <c r="B319" t="s">
        <v>15</v>
      </c>
      <c r="C319" t="s">
        <v>16</v>
      </c>
      <c r="D319">
        <v>36</v>
      </c>
      <c r="E319" t="s">
        <v>17</v>
      </c>
      <c r="F319" s="1">
        <v>42435.386111111111</v>
      </c>
      <c r="G319" t="s">
        <v>593</v>
      </c>
      <c r="H319" t="s">
        <v>28</v>
      </c>
      <c r="I319" t="s">
        <v>594</v>
      </c>
      <c r="J319">
        <v>9</v>
      </c>
      <c r="K319" t="s">
        <v>56</v>
      </c>
      <c r="L319" t="s">
        <v>31</v>
      </c>
      <c r="M319" t="s">
        <v>57</v>
      </c>
      <c r="N319" t="s">
        <v>24</v>
      </c>
      <c r="O319" t="s">
        <v>33</v>
      </c>
    </row>
    <row r="320" spans="1:15" x14ac:dyDescent="0.35">
      <c r="A320">
        <v>808965</v>
      </c>
      <c r="B320" t="s">
        <v>15</v>
      </c>
      <c r="C320" t="s">
        <v>16</v>
      </c>
      <c r="D320">
        <v>36</v>
      </c>
      <c r="E320" t="s">
        <v>17</v>
      </c>
      <c r="F320" s="1">
        <v>42409.787499999999</v>
      </c>
      <c r="G320" t="s">
        <v>130</v>
      </c>
      <c r="H320" t="s">
        <v>91</v>
      </c>
      <c r="I320" t="s">
        <v>595</v>
      </c>
      <c r="J320">
        <v>18</v>
      </c>
      <c r="K320" t="s">
        <v>49</v>
      </c>
      <c r="L320" t="s">
        <v>50</v>
      </c>
      <c r="M320" t="s">
        <v>23</v>
      </c>
      <c r="N320" t="s">
        <v>24</v>
      </c>
      <c r="O320" t="s">
        <v>25</v>
      </c>
    </row>
    <row r="321" spans="1:15" x14ac:dyDescent="0.35">
      <c r="A321">
        <v>788672</v>
      </c>
      <c r="B321" t="s">
        <v>15</v>
      </c>
      <c r="C321" t="s">
        <v>78</v>
      </c>
      <c r="D321">
        <v>39</v>
      </c>
      <c r="E321" t="s">
        <v>35</v>
      </c>
      <c r="F321" s="1">
        <v>42411.806250000001</v>
      </c>
      <c r="G321" t="s">
        <v>567</v>
      </c>
      <c r="H321" t="s">
        <v>51</v>
      </c>
      <c r="I321" t="s">
        <v>596</v>
      </c>
      <c r="J321">
        <v>19</v>
      </c>
      <c r="K321" t="s">
        <v>63</v>
      </c>
      <c r="L321" t="s">
        <v>50</v>
      </c>
      <c r="M321" t="s">
        <v>23</v>
      </c>
      <c r="N321" t="s">
        <v>93</v>
      </c>
      <c r="O321" t="s">
        <v>25</v>
      </c>
    </row>
    <row r="322" spans="1:15" x14ac:dyDescent="0.35">
      <c r="A322">
        <v>788672</v>
      </c>
      <c r="B322" t="s">
        <v>15</v>
      </c>
      <c r="C322" t="s">
        <v>78</v>
      </c>
      <c r="D322">
        <v>39</v>
      </c>
      <c r="E322" t="s">
        <v>35</v>
      </c>
      <c r="F322" s="1">
        <v>42388.645138888889</v>
      </c>
      <c r="G322" t="s">
        <v>99</v>
      </c>
      <c r="H322" t="s">
        <v>106</v>
      </c>
      <c r="I322" t="s">
        <v>597</v>
      </c>
      <c r="J322">
        <v>15</v>
      </c>
      <c r="K322" t="s">
        <v>49</v>
      </c>
      <c r="L322" t="s">
        <v>22</v>
      </c>
      <c r="M322" t="s">
        <v>23</v>
      </c>
      <c r="N322" t="s">
        <v>93</v>
      </c>
      <c r="O322" t="s">
        <v>44</v>
      </c>
    </row>
    <row r="323" spans="1:15" x14ac:dyDescent="0.35">
      <c r="A323">
        <v>808966</v>
      </c>
      <c r="B323" t="s">
        <v>15</v>
      </c>
      <c r="C323" t="s">
        <v>78</v>
      </c>
      <c r="D323">
        <v>21</v>
      </c>
      <c r="E323" t="s">
        <v>195</v>
      </c>
      <c r="F323" s="1">
        <v>42442.42083333333</v>
      </c>
      <c r="G323" t="s">
        <v>187</v>
      </c>
      <c r="H323" t="s">
        <v>71</v>
      </c>
      <c r="I323" t="s">
        <v>598</v>
      </c>
      <c r="J323">
        <v>10</v>
      </c>
      <c r="K323" t="s">
        <v>56</v>
      </c>
      <c r="L323" t="s">
        <v>31</v>
      </c>
      <c r="M323" t="s">
        <v>57</v>
      </c>
      <c r="N323" t="s">
        <v>69</v>
      </c>
      <c r="O323" t="s">
        <v>33</v>
      </c>
    </row>
    <row r="324" spans="1:15" x14ac:dyDescent="0.35">
      <c r="A324">
        <v>808966</v>
      </c>
      <c r="B324" t="s">
        <v>15</v>
      </c>
      <c r="C324" t="s">
        <v>78</v>
      </c>
      <c r="D324">
        <v>21</v>
      </c>
      <c r="E324" t="s">
        <v>195</v>
      </c>
      <c r="F324" s="1">
        <v>42442.681944444441</v>
      </c>
      <c r="G324" t="s">
        <v>599</v>
      </c>
      <c r="H324" t="s">
        <v>71</v>
      </c>
      <c r="I324" t="s">
        <v>600</v>
      </c>
      <c r="J324">
        <v>16</v>
      </c>
      <c r="K324" t="s">
        <v>56</v>
      </c>
      <c r="L324" t="s">
        <v>31</v>
      </c>
      <c r="M324" t="s">
        <v>57</v>
      </c>
      <c r="N324" t="s">
        <v>69</v>
      </c>
      <c r="O324" t="s">
        <v>44</v>
      </c>
    </row>
    <row r="325" spans="1:15" x14ac:dyDescent="0.35">
      <c r="A325">
        <v>808966</v>
      </c>
      <c r="B325" t="s">
        <v>15</v>
      </c>
      <c r="C325" t="s">
        <v>78</v>
      </c>
      <c r="D325">
        <v>21</v>
      </c>
      <c r="E325" t="s">
        <v>195</v>
      </c>
      <c r="F325" s="1">
        <v>42388.853472222225</v>
      </c>
      <c r="G325" t="s">
        <v>601</v>
      </c>
      <c r="H325" t="s">
        <v>71</v>
      </c>
      <c r="I325" t="s">
        <v>602</v>
      </c>
      <c r="J325">
        <v>20</v>
      </c>
      <c r="K325" t="s">
        <v>49</v>
      </c>
      <c r="L325" t="s">
        <v>22</v>
      </c>
      <c r="M325" t="s">
        <v>23</v>
      </c>
      <c r="N325" t="s">
        <v>69</v>
      </c>
      <c r="O325" t="s">
        <v>25</v>
      </c>
    </row>
    <row r="326" spans="1:15" x14ac:dyDescent="0.35">
      <c r="A326">
        <v>808966</v>
      </c>
      <c r="B326" t="s">
        <v>15</v>
      </c>
      <c r="C326" t="s">
        <v>78</v>
      </c>
      <c r="D326">
        <v>21</v>
      </c>
      <c r="E326" t="s">
        <v>195</v>
      </c>
      <c r="F326" s="1">
        <v>42452.361111111109</v>
      </c>
      <c r="G326" t="s">
        <v>603</v>
      </c>
      <c r="H326" t="s">
        <v>28</v>
      </c>
      <c r="I326" t="s">
        <v>604</v>
      </c>
      <c r="J326">
        <v>8</v>
      </c>
      <c r="K326" t="s">
        <v>30</v>
      </c>
      <c r="L326" t="s">
        <v>31</v>
      </c>
      <c r="M326" t="s">
        <v>23</v>
      </c>
      <c r="N326" t="s">
        <v>69</v>
      </c>
      <c r="O326" t="s">
        <v>33</v>
      </c>
    </row>
    <row r="327" spans="1:15" x14ac:dyDescent="0.35">
      <c r="A327">
        <v>808966</v>
      </c>
      <c r="B327" t="s">
        <v>15</v>
      </c>
      <c r="C327" t="s">
        <v>78</v>
      </c>
      <c r="D327">
        <v>21</v>
      </c>
      <c r="E327" t="s">
        <v>195</v>
      </c>
      <c r="F327" s="1">
        <v>42448.845138888886</v>
      </c>
      <c r="G327" t="s">
        <v>605</v>
      </c>
      <c r="H327" t="s">
        <v>51</v>
      </c>
      <c r="I327" t="s">
        <v>606</v>
      </c>
      <c r="J327">
        <v>20</v>
      </c>
      <c r="K327" t="s">
        <v>68</v>
      </c>
      <c r="L327" t="s">
        <v>31</v>
      </c>
      <c r="M327" t="s">
        <v>57</v>
      </c>
      <c r="N327" t="s">
        <v>69</v>
      </c>
      <c r="O327" t="s">
        <v>25</v>
      </c>
    </row>
    <row r="328" spans="1:15" x14ac:dyDescent="0.35">
      <c r="A328">
        <v>808966</v>
      </c>
      <c r="B328" t="s">
        <v>15</v>
      </c>
      <c r="C328" t="s">
        <v>78</v>
      </c>
      <c r="D328">
        <v>21</v>
      </c>
      <c r="E328" t="s">
        <v>195</v>
      </c>
      <c r="F328" s="1">
        <v>42396.809027777781</v>
      </c>
      <c r="G328" t="s">
        <v>470</v>
      </c>
      <c r="H328" t="s">
        <v>106</v>
      </c>
      <c r="I328" t="s">
        <v>607</v>
      </c>
      <c r="J328">
        <v>19</v>
      </c>
      <c r="K328" t="s">
        <v>30</v>
      </c>
      <c r="L328" t="s">
        <v>22</v>
      </c>
      <c r="M328" t="s">
        <v>23</v>
      </c>
      <c r="N328" t="s">
        <v>69</v>
      </c>
      <c r="O328" t="s">
        <v>25</v>
      </c>
    </row>
    <row r="329" spans="1:15" x14ac:dyDescent="0.35">
      <c r="A329">
        <v>808966</v>
      </c>
      <c r="B329" t="s">
        <v>15</v>
      </c>
      <c r="C329" t="s">
        <v>78</v>
      </c>
      <c r="D329">
        <v>21</v>
      </c>
      <c r="E329" t="s">
        <v>195</v>
      </c>
      <c r="F329" s="1">
        <v>42449.57916666667</v>
      </c>
      <c r="G329" t="s">
        <v>578</v>
      </c>
      <c r="H329" t="s">
        <v>106</v>
      </c>
      <c r="I329" t="s">
        <v>608</v>
      </c>
      <c r="J329">
        <v>13</v>
      </c>
      <c r="K329" t="s">
        <v>56</v>
      </c>
      <c r="L329" t="s">
        <v>31</v>
      </c>
      <c r="M329" t="s">
        <v>57</v>
      </c>
      <c r="N329" t="s">
        <v>69</v>
      </c>
      <c r="O329" t="s">
        <v>44</v>
      </c>
    </row>
    <row r="330" spans="1:15" x14ac:dyDescent="0.35">
      <c r="A330">
        <v>808966</v>
      </c>
      <c r="B330" t="s">
        <v>15</v>
      </c>
      <c r="C330" t="s">
        <v>78</v>
      </c>
      <c r="D330">
        <v>21</v>
      </c>
      <c r="E330" t="s">
        <v>195</v>
      </c>
      <c r="F330" s="1">
        <v>42449.845833333333</v>
      </c>
      <c r="G330" t="s">
        <v>76</v>
      </c>
      <c r="H330" t="s">
        <v>71</v>
      </c>
      <c r="I330" t="s">
        <v>320</v>
      </c>
      <c r="J330">
        <v>20</v>
      </c>
      <c r="K330" t="s">
        <v>56</v>
      </c>
      <c r="L330" t="s">
        <v>31</v>
      </c>
      <c r="M330" t="s">
        <v>57</v>
      </c>
      <c r="N330" t="s">
        <v>69</v>
      </c>
      <c r="O330" t="s">
        <v>25</v>
      </c>
    </row>
    <row r="331" spans="1:15" x14ac:dyDescent="0.35">
      <c r="A331">
        <v>808966</v>
      </c>
      <c r="B331" t="s">
        <v>15</v>
      </c>
      <c r="C331" t="s">
        <v>78</v>
      </c>
      <c r="D331">
        <v>21</v>
      </c>
      <c r="E331" t="s">
        <v>195</v>
      </c>
      <c r="F331" s="1">
        <v>42449.611111111109</v>
      </c>
      <c r="G331" t="s">
        <v>76</v>
      </c>
      <c r="H331" t="s">
        <v>71</v>
      </c>
      <c r="I331" t="s">
        <v>609</v>
      </c>
      <c r="J331">
        <v>14</v>
      </c>
      <c r="K331" t="s">
        <v>56</v>
      </c>
      <c r="L331" t="s">
        <v>31</v>
      </c>
      <c r="M331" t="s">
        <v>57</v>
      </c>
      <c r="N331" t="s">
        <v>69</v>
      </c>
      <c r="O331" t="s">
        <v>44</v>
      </c>
    </row>
    <row r="332" spans="1:15" x14ac:dyDescent="0.35">
      <c r="A332">
        <v>808966</v>
      </c>
      <c r="B332" t="s">
        <v>15</v>
      </c>
      <c r="C332" t="s">
        <v>78</v>
      </c>
      <c r="D332">
        <v>21</v>
      </c>
      <c r="E332" t="s">
        <v>195</v>
      </c>
      <c r="F332" s="1">
        <v>42423.17083333333</v>
      </c>
      <c r="G332" t="s">
        <v>610</v>
      </c>
      <c r="H332" t="s">
        <v>86</v>
      </c>
      <c r="I332" t="s">
        <v>611</v>
      </c>
      <c r="J332">
        <v>4</v>
      </c>
      <c r="K332" t="s">
        <v>49</v>
      </c>
      <c r="L332" t="s">
        <v>50</v>
      </c>
      <c r="M332" t="s">
        <v>23</v>
      </c>
      <c r="N332" t="s">
        <v>69</v>
      </c>
      <c r="O332" t="s">
        <v>58</v>
      </c>
    </row>
    <row r="333" spans="1:15" x14ac:dyDescent="0.35">
      <c r="A333">
        <v>808966</v>
      </c>
      <c r="B333" t="s">
        <v>15</v>
      </c>
      <c r="C333" t="s">
        <v>78</v>
      </c>
      <c r="D333">
        <v>21</v>
      </c>
      <c r="E333" t="s">
        <v>195</v>
      </c>
      <c r="F333" s="1">
        <v>42453.176388888889</v>
      </c>
      <c r="G333" t="s">
        <v>76</v>
      </c>
      <c r="H333" t="s">
        <v>86</v>
      </c>
      <c r="I333" t="s">
        <v>612</v>
      </c>
      <c r="J333">
        <v>4</v>
      </c>
      <c r="K333" t="s">
        <v>63</v>
      </c>
      <c r="L333" t="s">
        <v>31</v>
      </c>
      <c r="M333" t="s">
        <v>23</v>
      </c>
      <c r="N333" t="s">
        <v>69</v>
      </c>
      <c r="O333" t="s">
        <v>58</v>
      </c>
    </row>
    <row r="334" spans="1:15" x14ac:dyDescent="0.35">
      <c r="A334">
        <v>633678</v>
      </c>
      <c r="B334" t="s">
        <v>26</v>
      </c>
      <c r="C334" t="s">
        <v>26</v>
      </c>
      <c r="D334">
        <v>0</v>
      </c>
      <c r="E334" t="s">
        <v>26</v>
      </c>
      <c r="F334" s="1">
        <v>42411.795138888891</v>
      </c>
      <c r="G334" t="s">
        <v>76</v>
      </c>
      <c r="H334" t="s">
        <v>54</v>
      </c>
      <c r="I334" t="s">
        <v>613</v>
      </c>
      <c r="J334">
        <v>19</v>
      </c>
      <c r="K334" t="s">
        <v>63</v>
      </c>
      <c r="L334" t="s">
        <v>50</v>
      </c>
      <c r="M334" t="s">
        <v>23</v>
      </c>
      <c r="N334" t="s">
        <v>32</v>
      </c>
      <c r="O334" t="s">
        <v>25</v>
      </c>
    </row>
    <row r="335" spans="1:15" x14ac:dyDescent="0.35">
      <c r="A335">
        <v>786099</v>
      </c>
      <c r="B335" t="s">
        <v>15</v>
      </c>
      <c r="C335" t="s">
        <v>78</v>
      </c>
      <c r="D335">
        <v>30</v>
      </c>
      <c r="E335" t="s">
        <v>35</v>
      </c>
      <c r="F335" s="1">
        <v>42409.590277777781</v>
      </c>
      <c r="G335" t="s">
        <v>114</v>
      </c>
      <c r="H335" t="s">
        <v>91</v>
      </c>
      <c r="I335" t="s">
        <v>614</v>
      </c>
      <c r="J335">
        <v>14</v>
      </c>
      <c r="K335" t="s">
        <v>49</v>
      </c>
      <c r="L335" t="s">
        <v>50</v>
      </c>
      <c r="M335" t="s">
        <v>23</v>
      </c>
      <c r="N335" t="s">
        <v>24</v>
      </c>
      <c r="O335" t="s">
        <v>44</v>
      </c>
    </row>
    <row r="336" spans="1:15" x14ac:dyDescent="0.35">
      <c r="A336">
        <v>808969</v>
      </c>
      <c r="B336" t="s">
        <v>15</v>
      </c>
      <c r="C336" t="s">
        <v>78</v>
      </c>
      <c r="D336">
        <v>18</v>
      </c>
      <c r="E336" t="s">
        <v>35</v>
      </c>
      <c r="F336" s="1">
        <v>42432.337500000001</v>
      </c>
      <c r="G336" t="s">
        <v>36</v>
      </c>
      <c r="H336" t="s">
        <v>71</v>
      </c>
      <c r="I336" t="s">
        <v>615</v>
      </c>
      <c r="J336">
        <v>8</v>
      </c>
      <c r="K336" t="s">
        <v>63</v>
      </c>
      <c r="L336" t="s">
        <v>31</v>
      </c>
      <c r="M336" t="s">
        <v>23</v>
      </c>
      <c r="N336" t="s">
        <v>69</v>
      </c>
      <c r="O336" t="s">
        <v>33</v>
      </c>
    </row>
    <row r="337" spans="1:15" x14ac:dyDescent="0.35">
      <c r="A337">
        <v>808969</v>
      </c>
      <c r="B337" t="s">
        <v>15</v>
      </c>
      <c r="C337" t="s">
        <v>78</v>
      </c>
      <c r="D337">
        <v>18</v>
      </c>
      <c r="E337" t="s">
        <v>35</v>
      </c>
      <c r="F337" s="1">
        <v>42437.449305555558</v>
      </c>
      <c r="G337" t="s">
        <v>616</v>
      </c>
      <c r="H337" t="s">
        <v>19</v>
      </c>
      <c r="I337" t="s">
        <v>617</v>
      </c>
      <c r="J337">
        <v>10</v>
      </c>
      <c r="K337" t="s">
        <v>49</v>
      </c>
      <c r="L337" t="s">
        <v>31</v>
      </c>
      <c r="M337" t="s">
        <v>23</v>
      </c>
      <c r="N337" t="s">
        <v>69</v>
      </c>
      <c r="O337" t="s">
        <v>33</v>
      </c>
    </row>
    <row r="338" spans="1:15" x14ac:dyDescent="0.35">
      <c r="A338">
        <v>808969</v>
      </c>
      <c r="B338" t="s">
        <v>15</v>
      </c>
      <c r="C338" t="s">
        <v>78</v>
      </c>
      <c r="D338">
        <v>18</v>
      </c>
      <c r="E338" t="s">
        <v>35</v>
      </c>
      <c r="F338" s="1">
        <v>42381.831944444442</v>
      </c>
      <c r="G338" t="s">
        <v>618</v>
      </c>
      <c r="H338" t="s">
        <v>71</v>
      </c>
      <c r="I338" t="s">
        <v>619</v>
      </c>
      <c r="J338">
        <v>19</v>
      </c>
      <c r="K338" t="s">
        <v>49</v>
      </c>
      <c r="L338" t="s">
        <v>22</v>
      </c>
      <c r="M338" t="s">
        <v>23</v>
      </c>
      <c r="N338" t="s">
        <v>69</v>
      </c>
      <c r="O338" t="s">
        <v>25</v>
      </c>
    </row>
    <row r="339" spans="1:15" x14ac:dyDescent="0.35">
      <c r="A339">
        <v>808969</v>
      </c>
      <c r="B339" t="s">
        <v>15</v>
      </c>
      <c r="C339" t="s">
        <v>78</v>
      </c>
      <c r="D339">
        <v>18</v>
      </c>
      <c r="E339" t="s">
        <v>35</v>
      </c>
      <c r="F339" s="1">
        <v>42382.694444444445</v>
      </c>
      <c r="G339" t="s">
        <v>101</v>
      </c>
      <c r="H339" t="s">
        <v>19</v>
      </c>
      <c r="I339" t="s">
        <v>620</v>
      </c>
      <c r="J339">
        <v>16</v>
      </c>
      <c r="K339" t="s">
        <v>30</v>
      </c>
      <c r="L339" t="s">
        <v>22</v>
      </c>
      <c r="M339" t="s">
        <v>23</v>
      </c>
      <c r="N339" t="s">
        <v>69</v>
      </c>
      <c r="O339" t="s">
        <v>44</v>
      </c>
    </row>
    <row r="340" spans="1:15" x14ac:dyDescent="0.35">
      <c r="A340">
        <v>808969</v>
      </c>
      <c r="B340" t="s">
        <v>15</v>
      </c>
      <c r="C340" t="s">
        <v>78</v>
      </c>
      <c r="D340">
        <v>18</v>
      </c>
      <c r="E340" t="s">
        <v>35</v>
      </c>
      <c r="F340" s="1">
        <v>42380.833333333336</v>
      </c>
      <c r="G340" t="s">
        <v>326</v>
      </c>
      <c r="H340" t="s">
        <v>66</v>
      </c>
      <c r="I340" t="s">
        <v>621</v>
      </c>
      <c r="J340">
        <v>20</v>
      </c>
      <c r="K340" t="s">
        <v>21</v>
      </c>
      <c r="L340" t="s">
        <v>22</v>
      </c>
      <c r="M340" t="s">
        <v>23</v>
      </c>
      <c r="N340" t="s">
        <v>69</v>
      </c>
      <c r="O340" t="s">
        <v>25</v>
      </c>
    </row>
    <row r="341" spans="1:15" x14ac:dyDescent="0.35">
      <c r="A341">
        <v>859311</v>
      </c>
      <c r="B341" t="s">
        <v>15</v>
      </c>
      <c r="C341" t="s">
        <v>34</v>
      </c>
      <c r="D341">
        <v>21</v>
      </c>
      <c r="E341" t="s">
        <v>64</v>
      </c>
      <c r="F341" s="1">
        <v>42437.828472222223</v>
      </c>
      <c r="G341" t="s">
        <v>622</v>
      </c>
      <c r="H341" t="s">
        <v>51</v>
      </c>
      <c r="I341" t="s">
        <v>623</v>
      </c>
      <c r="J341">
        <v>19</v>
      </c>
      <c r="K341" t="s">
        <v>49</v>
      </c>
      <c r="L341" t="s">
        <v>31</v>
      </c>
      <c r="M341" t="s">
        <v>23</v>
      </c>
      <c r="N341" t="s">
        <v>69</v>
      </c>
      <c r="O341" t="s">
        <v>25</v>
      </c>
    </row>
    <row r="342" spans="1:15" x14ac:dyDescent="0.35">
      <c r="A342">
        <v>859311</v>
      </c>
      <c r="B342" t="s">
        <v>15</v>
      </c>
      <c r="C342" t="s">
        <v>34</v>
      </c>
      <c r="D342">
        <v>21</v>
      </c>
      <c r="E342" t="s">
        <v>64</v>
      </c>
      <c r="F342" s="1">
        <v>42439.75</v>
      </c>
      <c r="G342" t="s">
        <v>624</v>
      </c>
      <c r="H342" t="s">
        <v>19</v>
      </c>
      <c r="I342" t="s">
        <v>625</v>
      </c>
      <c r="J342">
        <v>18</v>
      </c>
      <c r="K342" t="s">
        <v>63</v>
      </c>
      <c r="L342" t="s">
        <v>31</v>
      </c>
      <c r="M342" t="s">
        <v>23</v>
      </c>
      <c r="N342" t="s">
        <v>69</v>
      </c>
      <c r="O342" t="s">
        <v>25</v>
      </c>
    </row>
    <row r="343" spans="1:15" x14ac:dyDescent="0.35">
      <c r="A343">
        <v>859311</v>
      </c>
      <c r="B343" t="s">
        <v>15</v>
      </c>
      <c r="C343" t="s">
        <v>34</v>
      </c>
      <c r="D343">
        <v>21</v>
      </c>
      <c r="E343" t="s">
        <v>64</v>
      </c>
      <c r="F343" s="1">
        <v>42439.794444444444</v>
      </c>
      <c r="G343" t="s">
        <v>626</v>
      </c>
      <c r="H343" t="s">
        <v>54</v>
      </c>
      <c r="I343" t="s">
        <v>627</v>
      </c>
      <c r="J343">
        <v>19</v>
      </c>
      <c r="K343" t="s">
        <v>63</v>
      </c>
      <c r="L343" t="s">
        <v>31</v>
      </c>
      <c r="M343" t="s">
        <v>23</v>
      </c>
      <c r="N343" t="s">
        <v>69</v>
      </c>
      <c r="O343" t="s">
        <v>25</v>
      </c>
    </row>
    <row r="344" spans="1:15" x14ac:dyDescent="0.35">
      <c r="A344">
        <v>808971</v>
      </c>
      <c r="B344" t="s">
        <v>15</v>
      </c>
      <c r="C344" t="s">
        <v>78</v>
      </c>
      <c r="D344">
        <v>36</v>
      </c>
      <c r="E344" t="s">
        <v>35</v>
      </c>
      <c r="F344" s="1">
        <v>42418.769444444442</v>
      </c>
      <c r="G344" t="s">
        <v>168</v>
      </c>
      <c r="H344" t="s">
        <v>51</v>
      </c>
      <c r="I344" t="s">
        <v>628</v>
      </c>
      <c r="J344">
        <v>18</v>
      </c>
      <c r="K344" t="s">
        <v>63</v>
      </c>
      <c r="L344" t="s">
        <v>50</v>
      </c>
      <c r="M344" t="s">
        <v>23</v>
      </c>
      <c r="N344" t="s">
        <v>24</v>
      </c>
      <c r="O344" t="s">
        <v>25</v>
      </c>
    </row>
    <row r="345" spans="1:15" x14ac:dyDescent="0.35">
      <c r="A345">
        <v>808971</v>
      </c>
      <c r="B345" t="s">
        <v>15</v>
      </c>
      <c r="C345" t="s">
        <v>78</v>
      </c>
      <c r="D345">
        <v>36</v>
      </c>
      <c r="E345" t="s">
        <v>35</v>
      </c>
      <c r="F345" s="1">
        <v>42407.570138888892</v>
      </c>
      <c r="G345" t="s">
        <v>145</v>
      </c>
      <c r="H345" t="s">
        <v>51</v>
      </c>
      <c r="I345" t="s">
        <v>629</v>
      </c>
      <c r="J345">
        <v>13</v>
      </c>
      <c r="K345" t="s">
        <v>56</v>
      </c>
      <c r="L345" t="s">
        <v>50</v>
      </c>
      <c r="M345" t="s">
        <v>57</v>
      </c>
      <c r="N345" t="s">
        <v>24</v>
      </c>
      <c r="O345" t="s">
        <v>44</v>
      </c>
    </row>
    <row r="346" spans="1:15" x14ac:dyDescent="0.35">
      <c r="A346">
        <v>808971</v>
      </c>
      <c r="B346" t="s">
        <v>15</v>
      </c>
      <c r="C346" t="s">
        <v>78</v>
      </c>
      <c r="D346">
        <v>36</v>
      </c>
      <c r="E346" t="s">
        <v>35</v>
      </c>
      <c r="F346" s="1">
        <v>42407.84375</v>
      </c>
      <c r="G346" t="s">
        <v>630</v>
      </c>
      <c r="H346" t="s">
        <v>51</v>
      </c>
      <c r="I346" t="s">
        <v>631</v>
      </c>
      <c r="J346">
        <v>20</v>
      </c>
      <c r="K346" t="s">
        <v>56</v>
      </c>
      <c r="L346" t="s">
        <v>50</v>
      </c>
      <c r="M346" t="s">
        <v>57</v>
      </c>
      <c r="N346" t="s">
        <v>24</v>
      </c>
      <c r="O346" t="s">
        <v>25</v>
      </c>
    </row>
    <row r="347" spans="1:15" x14ac:dyDescent="0.35">
      <c r="A347">
        <v>808971</v>
      </c>
      <c r="B347" t="s">
        <v>15</v>
      </c>
      <c r="C347" t="s">
        <v>78</v>
      </c>
      <c r="D347">
        <v>36</v>
      </c>
      <c r="E347" t="s">
        <v>35</v>
      </c>
      <c r="F347" s="1">
        <v>42395.594444444447</v>
      </c>
      <c r="G347" t="s">
        <v>632</v>
      </c>
      <c r="H347" t="s">
        <v>54</v>
      </c>
      <c r="I347" t="s">
        <v>633</v>
      </c>
      <c r="J347">
        <v>14</v>
      </c>
      <c r="K347" t="s">
        <v>49</v>
      </c>
      <c r="L347" t="s">
        <v>22</v>
      </c>
      <c r="M347" t="s">
        <v>23</v>
      </c>
      <c r="N347" t="s">
        <v>24</v>
      </c>
      <c r="O347" t="s">
        <v>44</v>
      </c>
    </row>
    <row r="348" spans="1:15" x14ac:dyDescent="0.35">
      <c r="A348">
        <v>808971</v>
      </c>
      <c r="B348" t="s">
        <v>15</v>
      </c>
      <c r="C348" t="s">
        <v>78</v>
      </c>
      <c r="D348">
        <v>36</v>
      </c>
      <c r="E348" t="s">
        <v>35</v>
      </c>
      <c r="F348" s="1">
        <v>42459.804861111108</v>
      </c>
      <c r="G348" t="s">
        <v>76</v>
      </c>
      <c r="H348" t="s">
        <v>51</v>
      </c>
      <c r="I348" t="s">
        <v>634</v>
      </c>
      <c r="J348">
        <v>19</v>
      </c>
      <c r="K348" t="s">
        <v>30</v>
      </c>
      <c r="L348" t="s">
        <v>31</v>
      </c>
      <c r="M348" t="s">
        <v>23</v>
      </c>
      <c r="N348" t="s">
        <v>24</v>
      </c>
      <c r="O348" t="s">
        <v>25</v>
      </c>
    </row>
    <row r="349" spans="1:15" x14ac:dyDescent="0.35">
      <c r="A349">
        <v>808971</v>
      </c>
      <c r="B349" t="s">
        <v>15</v>
      </c>
      <c r="C349" t="s">
        <v>78</v>
      </c>
      <c r="D349">
        <v>36</v>
      </c>
      <c r="E349" t="s">
        <v>35</v>
      </c>
      <c r="F349" s="1">
        <v>42454.599305555559</v>
      </c>
      <c r="G349" t="s">
        <v>513</v>
      </c>
      <c r="H349" t="s">
        <v>51</v>
      </c>
      <c r="I349" t="s">
        <v>635</v>
      </c>
      <c r="J349">
        <v>14</v>
      </c>
      <c r="K349" t="s">
        <v>42</v>
      </c>
      <c r="L349" t="s">
        <v>31</v>
      </c>
      <c r="M349" t="s">
        <v>23</v>
      </c>
      <c r="N349" t="s">
        <v>24</v>
      </c>
      <c r="O349" t="s">
        <v>44</v>
      </c>
    </row>
    <row r="350" spans="1:15" x14ac:dyDescent="0.35">
      <c r="A350">
        <v>830980</v>
      </c>
      <c r="B350" t="s">
        <v>15</v>
      </c>
      <c r="C350" t="s">
        <v>34</v>
      </c>
      <c r="D350">
        <v>42</v>
      </c>
      <c r="E350" t="s">
        <v>64</v>
      </c>
      <c r="F350" s="1">
        <v>42446.425694444442</v>
      </c>
      <c r="G350" t="s">
        <v>636</v>
      </c>
      <c r="H350" t="s">
        <v>51</v>
      </c>
      <c r="I350" t="s">
        <v>637</v>
      </c>
      <c r="J350">
        <v>10</v>
      </c>
      <c r="K350" t="s">
        <v>63</v>
      </c>
      <c r="L350" t="s">
        <v>31</v>
      </c>
      <c r="M350" t="s">
        <v>23</v>
      </c>
      <c r="N350" t="s">
        <v>93</v>
      </c>
      <c r="O350" t="s">
        <v>33</v>
      </c>
    </row>
    <row r="351" spans="1:15" x14ac:dyDescent="0.35">
      <c r="A351">
        <v>792729</v>
      </c>
      <c r="B351" t="s">
        <v>26</v>
      </c>
      <c r="C351" t="s">
        <v>26</v>
      </c>
      <c r="D351">
        <v>0</v>
      </c>
      <c r="E351" t="s">
        <v>26</v>
      </c>
      <c r="F351" s="1">
        <v>42459.743055555555</v>
      </c>
      <c r="G351" t="s">
        <v>18</v>
      </c>
      <c r="H351" t="s">
        <v>19</v>
      </c>
      <c r="I351" t="s">
        <v>638</v>
      </c>
      <c r="J351">
        <v>17</v>
      </c>
      <c r="K351" t="s">
        <v>30</v>
      </c>
      <c r="L351" t="s">
        <v>31</v>
      </c>
      <c r="M351" t="s">
        <v>23</v>
      </c>
      <c r="N351" t="s">
        <v>32</v>
      </c>
      <c r="O351" t="s">
        <v>25</v>
      </c>
    </row>
    <row r="352" spans="1:15" x14ac:dyDescent="0.35">
      <c r="A352">
        <v>820387</v>
      </c>
      <c r="B352" t="s">
        <v>15</v>
      </c>
      <c r="C352" t="s">
        <v>78</v>
      </c>
      <c r="D352">
        <v>15</v>
      </c>
      <c r="E352" t="s">
        <v>134</v>
      </c>
      <c r="F352" s="1">
        <v>42396.57916666667</v>
      </c>
      <c r="G352" t="s">
        <v>639</v>
      </c>
      <c r="H352" t="s">
        <v>86</v>
      </c>
      <c r="I352" t="s">
        <v>640</v>
      </c>
      <c r="J352">
        <v>13</v>
      </c>
      <c r="K352" t="s">
        <v>30</v>
      </c>
      <c r="L352" t="s">
        <v>22</v>
      </c>
      <c r="M352" t="s">
        <v>23</v>
      </c>
      <c r="N352" t="s">
        <v>32</v>
      </c>
      <c r="O352" t="s">
        <v>44</v>
      </c>
    </row>
    <row r="353" spans="1:15" x14ac:dyDescent="0.35">
      <c r="A353">
        <v>820387</v>
      </c>
      <c r="B353" t="s">
        <v>15</v>
      </c>
      <c r="C353" t="s">
        <v>78</v>
      </c>
      <c r="D353">
        <v>15</v>
      </c>
      <c r="E353" t="s">
        <v>134</v>
      </c>
      <c r="F353" s="1">
        <v>42396.411111111112</v>
      </c>
      <c r="G353" t="s">
        <v>641</v>
      </c>
      <c r="H353" t="s">
        <v>66</v>
      </c>
      <c r="I353" t="s">
        <v>642</v>
      </c>
      <c r="J353">
        <v>9</v>
      </c>
      <c r="K353" t="s">
        <v>30</v>
      </c>
      <c r="L353" t="s">
        <v>22</v>
      </c>
      <c r="M353" t="s">
        <v>23</v>
      </c>
      <c r="N353" t="s">
        <v>32</v>
      </c>
      <c r="O353" t="s">
        <v>33</v>
      </c>
    </row>
    <row r="354" spans="1:15" x14ac:dyDescent="0.35">
      <c r="A354">
        <v>820387</v>
      </c>
      <c r="B354" t="s">
        <v>15</v>
      </c>
      <c r="C354" t="s">
        <v>78</v>
      </c>
      <c r="D354">
        <v>15</v>
      </c>
      <c r="E354" t="s">
        <v>134</v>
      </c>
      <c r="F354" s="1">
        <v>42394.421527777777</v>
      </c>
      <c r="G354" t="s">
        <v>168</v>
      </c>
      <c r="H354" t="s">
        <v>54</v>
      </c>
      <c r="I354" t="s">
        <v>643</v>
      </c>
      <c r="J354">
        <v>10</v>
      </c>
      <c r="K354" t="s">
        <v>21</v>
      </c>
      <c r="L354" t="s">
        <v>22</v>
      </c>
      <c r="M354" t="s">
        <v>23</v>
      </c>
      <c r="N354" t="s">
        <v>32</v>
      </c>
      <c r="O354" t="s">
        <v>33</v>
      </c>
    </row>
    <row r="355" spans="1:15" x14ac:dyDescent="0.35">
      <c r="A355">
        <v>820387</v>
      </c>
      <c r="B355" t="s">
        <v>15</v>
      </c>
      <c r="C355" t="s">
        <v>78</v>
      </c>
      <c r="D355">
        <v>15</v>
      </c>
      <c r="E355" t="s">
        <v>134</v>
      </c>
      <c r="F355" s="1">
        <v>42395.8125</v>
      </c>
      <c r="G355" t="s">
        <v>644</v>
      </c>
      <c r="H355" t="s">
        <v>86</v>
      </c>
      <c r="I355" t="s">
        <v>645</v>
      </c>
      <c r="J355">
        <v>19</v>
      </c>
      <c r="K355" t="s">
        <v>49</v>
      </c>
      <c r="L355" t="s">
        <v>22</v>
      </c>
      <c r="M355" t="s">
        <v>23</v>
      </c>
      <c r="N355" t="s">
        <v>32</v>
      </c>
      <c r="O355" t="s">
        <v>25</v>
      </c>
    </row>
    <row r="356" spans="1:15" x14ac:dyDescent="0.35">
      <c r="A356">
        <v>892515</v>
      </c>
      <c r="B356" t="s">
        <v>15</v>
      </c>
      <c r="C356" t="s">
        <v>39</v>
      </c>
      <c r="D356">
        <v>34</v>
      </c>
      <c r="E356" t="s">
        <v>17</v>
      </c>
      <c r="F356" s="1">
        <v>42452.313194444447</v>
      </c>
      <c r="G356" t="s">
        <v>40</v>
      </c>
      <c r="H356" t="s">
        <v>86</v>
      </c>
      <c r="I356" t="s">
        <v>646</v>
      </c>
      <c r="J356">
        <v>7</v>
      </c>
      <c r="K356" t="s">
        <v>30</v>
      </c>
      <c r="L356" t="s">
        <v>31</v>
      </c>
      <c r="M356" t="s">
        <v>23</v>
      </c>
      <c r="N356" t="s">
        <v>24</v>
      </c>
      <c r="O356" t="s">
        <v>33</v>
      </c>
    </row>
    <row r="357" spans="1:15" x14ac:dyDescent="0.35">
      <c r="A357">
        <v>892515</v>
      </c>
      <c r="B357" t="s">
        <v>15</v>
      </c>
      <c r="C357" t="s">
        <v>39</v>
      </c>
      <c r="D357">
        <v>34</v>
      </c>
      <c r="E357" t="s">
        <v>17</v>
      </c>
      <c r="F357" s="1">
        <v>42447.467361111114</v>
      </c>
      <c r="G357" t="s">
        <v>647</v>
      </c>
      <c r="H357" t="s">
        <v>71</v>
      </c>
      <c r="I357" t="s">
        <v>648</v>
      </c>
      <c r="J357">
        <v>11</v>
      </c>
      <c r="K357" t="s">
        <v>42</v>
      </c>
      <c r="L357" t="s">
        <v>31</v>
      </c>
      <c r="M357" t="s">
        <v>23</v>
      </c>
      <c r="N357" t="s">
        <v>24</v>
      </c>
      <c r="O357" t="s">
        <v>44</v>
      </c>
    </row>
    <row r="358" spans="1:15" x14ac:dyDescent="0.35">
      <c r="A358">
        <v>2203323</v>
      </c>
      <c r="B358" t="s">
        <v>15</v>
      </c>
      <c r="C358" t="s">
        <v>78</v>
      </c>
      <c r="D358">
        <v>43</v>
      </c>
      <c r="E358" t="s">
        <v>195</v>
      </c>
      <c r="F358" s="1">
        <v>42424.62222222222</v>
      </c>
      <c r="G358" t="s">
        <v>649</v>
      </c>
      <c r="H358" t="s">
        <v>28</v>
      </c>
      <c r="I358" t="s">
        <v>650</v>
      </c>
      <c r="J358">
        <v>14</v>
      </c>
      <c r="K358" t="s">
        <v>30</v>
      </c>
      <c r="L358" t="s">
        <v>50</v>
      </c>
      <c r="M358" t="s">
        <v>23</v>
      </c>
      <c r="N358" t="s">
        <v>93</v>
      </c>
      <c r="O358" t="s">
        <v>44</v>
      </c>
    </row>
    <row r="359" spans="1:15" x14ac:dyDescent="0.35">
      <c r="A359">
        <v>2203323</v>
      </c>
      <c r="B359" t="s">
        <v>15</v>
      </c>
      <c r="C359" t="s">
        <v>78</v>
      </c>
      <c r="D359">
        <v>43</v>
      </c>
      <c r="E359" t="s">
        <v>195</v>
      </c>
      <c r="F359" s="1">
        <v>42424.821527777778</v>
      </c>
      <c r="G359" t="s">
        <v>371</v>
      </c>
      <c r="H359" t="s">
        <v>54</v>
      </c>
      <c r="I359" t="s">
        <v>651</v>
      </c>
      <c r="J359">
        <v>19</v>
      </c>
      <c r="K359" t="s">
        <v>30</v>
      </c>
      <c r="L359" t="s">
        <v>50</v>
      </c>
      <c r="M359" t="s">
        <v>23</v>
      </c>
      <c r="N359" t="s">
        <v>93</v>
      </c>
      <c r="O359" t="s">
        <v>25</v>
      </c>
    </row>
    <row r="360" spans="1:15" x14ac:dyDescent="0.35">
      <c r="A360">
        <v>2203323</v>
      </c>
      <c r="B360" t="s">
        <v>15</v>
      </c>
      <c r="C360" t="s">
        <v>78</v>
      </c>
      <c r="D360">
        <v>43</v>
      </c>
      <c r="E360" t="s">
        <v>195</v>
      </c>
      <c r="F360" s="1">
        <v>42427.379861111112</v>
      </c>
      <c r="G360" t="s">
        <v>652</v>
      </c>
      <c r="H360" t="s">
        <v>106</v>
      </c>
      <c r="I360" t="s">
        <v>653</v>
      </c>
      <c r="J360">
        <v>9</v>
      </c>
      <c r="K360" t="s">
        <v>68</v>
      </c>
      <c r="L360" t="s">
        <v>50</v>
      </c>
      <c r="M360" t="s">
        <v>57</v>
      </c>
      <c r="N360" t="s">
        <v>93</v>
      </c>
      <c r="O360" t="s">
        <v>33</v>
      </c>
    </row>
    <row r="361" spans="1:15" x14ac:dyDescent="0.35">
      <c r="A361">
        <v>808976</v>
      </c>
      <c r="B361" t="s">
        <v>15</v>
      </c>
      <c r="C361" t="s">
        <v>78</v>
      </c>
      <c r="D361">
        <v>46</v>
      </c>
      <c r="E361" t="s">
        <v>35</v>
      </c>
      <c r="F361" s="1">
        <v>42431.645833333336</v>
      </c>
      <c r="G361" t="s">
        <v>654</v>
      </c>
      <c r="H361" t="s">
        <v>86</v>
      </c>
      <c r="I361" t="s">
        <v>655</v>
      </c>
      <c r="J361">
        <v>15</v>
      </c>
      <c r="K361" t="s">
        <v>30</v>
      </c>
      <c r="L361" t="s">
        <v>31</v>
      </c>
      <c r="M361" t="s">
        <v>23</v>
      </c>
      <c r="N361" t="s">
        <v>93</v>
      </c>
      <c r="O361" t="s">
        <v>44</v>
      </c>
    </row>
    <row r="362" spans="1:15" x14ac:dyDescent="0.35">
      <c r="A362">
        <v>866192</v>
      </c>
      <c r="B362" t="s">
        <v>26</v>
      </c>
      <c r="C362" t="s">
        <v>26</v>
      </c>
      <c r="D362">
        <v>0</v>
      </c>
      <c r="E362" t="s">
        <v>26</v>
      </c>
      <c r="F362" s="1">
        <v>42452.838194444441</v>
      </c>
      <c r="G362" t="s">
        <v>176</v>
      </c>
      <c r="H362" t="s">
        <v>47</v>
      </c>
      <c r="I362" t="s">
        <v>656</v>
      </c>
      <c r="J362">
        <v>20</v>
      </c>
      <c r="K362" t="s">
        <v>30</v>
      </c>
      <c r="L362" t="s">
        <v>31</v>
      </c>
      <c r="M362" t="s">
        <v>23</v>
      </c>
      <c r="N362" t="s">
        <v>32</v>
      </c>
      <c r="O362" t="s">
        <v>25</v>
      </c>
    </row>
    <row r="363" spans="1:15" x14ac:dyDescent="0.35">
      <c r="A363">
        <v>866192</v>
      </c>
      <c r="B363" t="s">
        <v>26</v>
      </c>
      <c r="C363" t="s">
        <v>26</v>
      </c>
      <c r="D363">
        <v>0</v>
      </c>
      <c r="E363" t="s">
        <v>26</v>
      </c>
      <c r="F363" s="1">
        <v>42455.201388888891</v>
      </c>
      <c r="G363" t="s">
        <v>657</v>
      </c>
      <c r="H363" t="s">
        <v>19</v>
      </c>
      <c r="I363" t="s">
        <v>658</v>
      </c>
      <c r="J363">
        <v>4</v>
      </c>
      <c r="K363" t="s">
        <v>68</v>
      </c>
      <c r="L363" t="s">
        <v>31</v>
      </c>
      <c r="M363" t="s">
        <v>57</v>
      </c>
      <c r="N363" t="s">
        <v>32</v>
      </c>
      <c r="O363" t="s">
        <v>58</v>
      </c>
    </row>
    <row r="364" spans="1:15" x14ac:dyDescent="0.35">
      <c r="A364">
        <v>866192</v>
      </c>
      <c r="B364" t="s">
        <v>26</v>
      </c>
      <c r="C364" t="s">
        <v>26</v>
      </c>
      <c r="D364">
        <v>0</v>
      </c>
      <c r="E364" t="s">
        <v>26</v>
      </c>
      <c r="F364" s="1">
        <v>42455.872916666667</v>
      </c>
      <c r="G364" t="s">
        <v>76</v>
      </c>
      <c r="H364" t="s">
        <v>179</v>
      </c>
      <c r="I364" t="s">
        <v>659</v>
      </c>
      <c r="J364">
        <v>20</v>
      </c>
      <c r="K364" t="s">
        <v>68</v>
      </c>
      <c r="L364" t="s">
        <v>31</v>
      </c>
      <c r="M364" t="s">
        <v>57</v>
      </c>
      <c r="N364" t="s">
        <v>32</v>
      </c>
      <c r="O364" t="s">
        <v>25</v>
      </c>
    </row>
    <row r="365" spans="1:15" x14ac:dyDescent="0.35">
      <c r="A365">
        <v>930014</v>
      </c>
      <c r="B365" t="s">
        <v>15</v>
      </c>
      <c r="C365" t="s">
        <v>34</v>
      </c>
      <c r="D365">
        <v>33</v>
      </c>
      <c r="E365" t="s">
        <v>35</v>
      </c>
      <c r="F365" s="1">
        <v>42459.57708333333</v>
      </c>
      <c r="G365" t="s">
        <v>660</v>
      </c>
      <c r="H365" t="s">
        <v>28</v>
      </c>
      <c r="I365" t="s">
        <v>661</v>
      </c>
      <c r="J365">
        <v>13</v>
      </c>
      <c r="K365" t="s">
        <v>30</v>
      </c>
      <c r="L365" t="s">
        <v>31</v>
      </c>
      <c r="M365" t="s">
        <v>23</v>
      </c>
      <c r="N365" t="s">
        <v>24</v>
      </c>
      <c r="O365" t="s">
        <v>44</v>
      </c>
    </row>
    <row r="366" spans="1:15" x14ac:dyDescent="0.35">
      <c r="A366">
        <v>930015</v>
      </c>
      <c r="B366" t="s">
        <v>15</v>
      </c>
      <c r="C366" t="s">
        <v>34</v>
      </c>
      <c r="D366">
        <v>19</v>
      </c>
      <c r="E366" t="s">
        <v>17</v>
      </c>
      <c r="F366" s="1">
        <v>42460.339583333334</v>
      </c>
      <c r="G366" t="s">
        <v>662</v>
      </c>
      <c r="H366" t="s">
        <v>102</v>
      </c>
      <c r="I366" t="s">
        <v>663</v>
      </c>
      <c r="J366">
        <v>8</v>
      </c>
      <c r="K366" t="s">
        <v>63</v>
      </c>
      <c r="L366" t="s">
        <v>31</v>
      </c>
      <c r="M366" t="s">
        <v>23</v>
      </c>
      <c r="N366" t="s">
        <v>69</v>
      </c>
      <c r="O366" t="s">
        <v>33</v>
      </c>
    </row>
    <row r="367" spans="1:15" x14ac:dyDescent="0.35">
      <c r="A367">
        <v>930015</v>
      </c>
      <c r="B367" t="s">
        <v>15</v>
      </c>
      <c r="C367" t="s">
        <v>34</v>
      </c>
      <c r="D367">
        <v>19</v>
      </c>
      <c r="E367" t="s">
        <v>17</v>
      </c>
      <c r="F367" s="1">
        <v>42459.640277777777</v>
      </c>
      <c r="G367" t="s">
        <v>664</v>
      </c>
      <c r="H367" t="s">
        <v>28</v>
      </c>
      <c r="I367" t="s">
        <v>665</v>
      </c>
      <c r="J367">
        <v>15</v>
      </c>
      <c r="K367" t="s">
        <v>30</v>
      </c>
      <c r="L367" t="s">
        <v>31</v>
      </c>
      <c r="M367" t="s">
        <v>23</v>
      </c>
      <c r="N367" t="s">
        <v>69</v>
      </c>
      <c r="O367" t="s">
        <v>44</v>
      </c>
    </row>
    <row r="368" spans="1:15" x14ac:dyDescent="0.35">
      <c r="A368">
        <v>930015</v>
      </c>
      <c r="B368" t="s">
        <v>15</v>
      </c>
      <c r="C368" t="s">
        <v>34</v>
      </c>
      <c r="D368">
        <v>19</v>
      </c>
      <c r="E368" t="s">
        <v>17</v>
      </c>
      <c r="F368" s="1">
        <v>42458.897916666669</v>
      </c>
      <c r="G368" t="s">
        <v>136</v>
      </c>
      <c r="H368" t="s">
        <v>28</v>
      </c>
      <c r="I368" t="s">
        <v>666</v>
      </c>
      <c r="J368">
        <v>21</v>
      </c>
      <c r="K368" t="s">
        <v>49</v>
      </c>
      <c r="L368" t="s">
        <v>31</v>
      </c>
      <c r="M368" t="s">
        <v>23</v>
      </c>
      <c r="N368" t="s">
        <v>69</v>
      </c>
      <c r="O368" t="s">
        <v>25</v>
      </c>
    </row>
    <row r="369" spans="1:15" x14ac:dyDescent="0.35">
      <c r="A369">
        <v>1297586</v>
      </c>
      <c r="B369" t="s">
        <v>15</v>
      </c>
      <c r="C369" t="s">
        <v>34</v>
      </c>
      <c r="D369">
        <v>53</v>
      </c>
      <c r="E369" t="s">
        <v>64</v>
      </c>
      <c r="F369" s="1">
        <v>42438.20208333333</v>
      </c>
      <c r="G369" t="s">
        <v>76</v>
      </c>
      <c r="H369" t="s">
        <v>86</v>
      </c>
      <c r="I369" t="s">
        <v>667</v>
      </c>
      <c r="J369">
        <v>4</v>
      </c>
      <c r="K369" t="s">
        <v>30</v>
      </c>
      <c r="L369" t="s">
        <v>31</v>
      </c>
      <c r="M369" t="s">
        <v>23</v>
      </c>
      <c r="N369" t="s">
        <v>43</v>
      </c>
      <c r="O369" t="s">
        <v>58</v>
      </c>
    </row>
    <row r="370" spans="1:15" x14ac:dyDescent="0.35">
      <c r="A370">
        <v>866195</v>
      </c>
      <c r="B370" t="s">
        <v>15</v>
      </c>
      <c r="C370" t="s">
        <v>39</v>
      </c>
      <c r="D370">
        <v>32</v>
      </c>
      <c r="E370" t="s">
        <v>45</v>
      </c>
      <c r="F370" s="1">
        <v>42441.013194444444</v>
      </c>
      <c r="G370" t="s">
        <v>668</v>
      </c>
      <c r="H370" t="s">
        <v>669</v>
      </c>
      <c r="I370" t="s">
        <v>670</v>
      </c>
      <c r="J370">
        <v>0</v>
      </c>
      <c r="K370" t="s">
        <v>68</v>
      </c>
      <c r="L370" t="s">
        <v>31</v>
      </c>
      <c r="M370" t="s">
        <v>57</v>
      </c>
      <c r="N370" t="s">
        <v>24</v>
      </c>
      <c r="O370" t="s">
        <v>58</v>
      </c>
    </row>
    <row r="371" spans="1:15" x14ac:dyDescent="0.35">
      <c r="A371">
        <v>820398</v>
      </c>
      <c r="B371" t="s">
        <v>15</v>
      </c>
      <c r="C371" t="s">
        <v>78</v>
      </c>
      <c r="D371">
        <v>28</v>
      </c>
      <c r="E371" t="s">
        <v>64</v>
      </c>
      <c r="F371" s="1">
        <v>42426.892361111109</v>
      </c>
      <c r="G371" t="s">
        <v>76</v>
      </c>
      <c r="H371" t="s">
        <v>71</v>
      </c>
      <c r="I371" t="s">
        <v>671</v>
      </c>
      <c r="J371">
        <v>21</v>
      </c>
      <c r="K371" t="s">
        <v>42</v>
      </c>
      <c r="L371" t="s">
        <v>50</v>
      </c>
      <c r="M371" t="s">
        <v>23</v>
      </c>
      <c r="N371" t="s">
        <v>69</v>
      </c>
      <c r="O371" t="s">
        <v>25</v>
      </c>
    </row>
    <row r="372" spans="1:15" x14ac:dyDescent="0.35">
      <c r="A372">
        <v>820398</v>
      </c>
      <c r="B372" t="s">
        <v>15</v>
      </c>
      <c r="C372" t="s">
        <v>78</v>
      </c>
      <c r="D372">
        <v>28</v>
      </c>
      <c r="E372" t="s">
        <v>64</v>
      </c>
      <c r="F372" s="1">
        <v>42426.907638888886</v>
      </c>
      <c r="G372" t="s">
        <v>220</v>
      </c>
      <c r="H372" t="s">
        <v>71</v>
      </c>
      <c r="I372" t="s">
        <v>672</v>
      </c>
      <c r="J372">
        <v>21</v>
      </c>
      <c r="K372" t="s">
        <v>42</v>
      </c>
      <c r="L372" t="s">
        <v>50</v>
      </c>
      <c r="M372" t="s">
        <v>23</v>
      </c>
      <c r="N372" t="s">
        <v>69</v>
      </c>
      <c r="O372" t="s">
        <v>25</v>
      </c>
    </row>
    <row r="373" spans="1:15" x14ac:dyDescent="0.35">
      <c r="A373">
        <v>820398</v>
      </c>
      <c r="B373" t="s">
        <v>15</v>
      </c>
      <c r="C373" t="s">
        <v>78</v>
      </c>
      <c r="D373">
        <v>28</v>
      </c>
      <c r="E373" t="s">
        <v>64</v>
      </c>
      <c r="F373" s="1">
        <v>42434.918749999997</v>
      </c>
      <c r="G373" t="s">
        <v>673</v>
      </c>
      <c r="H373" t="s">
        <v>106</v>
      </c>
      <c r="I373" t="s">
        <v>674</v>
      </c>
      <c r="J373">
        <v>22</v>
      </c>
      <c r="K373" t="s">
        <v>68</v>
      </c>
      <c r="L373" t="s">
        <v>31</v>
      </c>
      <c r="M373" t="s">
        <v>57</v>
      </c>
      <c r="N373" t="s">
        <v>69</v>
      </c>
      <c r="O373" t="s">
        <v>104</v>
      </c>
    </row>
    <row r="374" spans="1:15" x14ac:dyDescent="0.35">
      <c r="A374">
        <v>820398</v>
      </c>
      <c r="B374" t="s">
        <v>15</v>
      </c>
      <c r="C374" t="s">
        <v>78</v>
      </c>
      <c r="D374">
        <v>28</v>
      </c>
      <c r="E374" t="s">
        <v>64</v>
      </c>
      <c r="F374" s="1">
        <v>42430.209027777775</v>
      </c>
      <c r="G374" t="s">
        <v>675</v>
      </c>
      <c r="H374" t="s">
        <v>54</v>
      </c>
      <c r="I374" t="s">
        <v>676</v>
      </c>
      <c r="J374">
        <v>5</v>
      </c>
      <c r="K374" t="s">
        <v>49</v>
      </c>
      <c r="L374" t="s">
        <v>31</v>
      </c>
      <c r="M374" t="s">
        <v>23</v>
      </c>
      <c r="N374" t="s">
        <v>69</v>
      </c>
      <c r="O374" t="s">
        <v>33</v>
      </c>
    </row>
    <row r="375" spans="1:15" x14ac:dyDescent="0.35">
      <c r="A375">
        <v>803542</v>
      </c>
      <c r="B375" t="s">
        <v>15</v>
      </c>
      <c r="C375" t="s">
        <v>34</v>
      </c>
      <c r="D375">
        <v>36</v>
      </c>
      <c r="E375" t="s">
        <v>64</v>
      </c>
      <c r="F375" s="1">
        <v>42460.619444444441</v>
      </c>
      <c r="G375" t="s">
        <v>677</v>
      </c>
      <c r="H375" t="s">
        <v>19</v>
      </c>
      <c r="I375" t="s">
        <v>678</v>
      </c>
      <c r="J375">
        <v>14</v>
      </c>
      <c r="K375" t="s">
        <v>63</v>
      </c>
      <c r="L375" t="s">
        <v>31</v>
      </c>
      <c r="M375" t="s">
        <v>23</v>
      </c>
      <c r="N375" t="s">
        <v>24</v>
      </c>
      <c r="O375" t="s">
        <v>44</v>
      </c>
    </row>
    <row r="376" spans="1:15" x14ac:dyDescent="0.35">
      <c r="A376">
        <v>593622</v>
      </c>
      <c r="B376" t="s">
        <v>38</v>
      </c>
      <c r="C376" t="s">
        <v>78</v>
      </c>
      <c r="D376">
        <v>27</v>
      </c>
      <c r="E376" t="s">
        <v>35</v>
      </c>
      <c r="F376" s="1">
        <v>42390.503472222219</v>
      </c>
      <c r="G376" t="s">
        <v>679</v>
      </c>
      <c r="H376" t="s">
        <v>19</v>
      </c>
      <c r="I376" t="s">
        <v>680</v>
      </c>
      <c r="J376">
        <v>12</v>
      </c>
      <c r="K376" t="s">
        <v>63</v>
      </c>
      <c r="L376" t="s">
        <v>22</v>
      </c>
      <c r="M376" t="s">
        <v>23</v>
      </c>
      <c r="N376" t="s">
        <v>69</v>
      </c>
      <c r="O376" t="s">
        <v>44</v>
      </c>
    </row>
    <row r="377" spans="1:15" x14ac:dyDescent="0.35">
      <c r="A377">
        <v>831755</v>
      </c>
      <c r="B377" t="s">
        <v>15</v>
      </c>
      <c r="C377" t="s">
        <v>78</v>
      </c>
      <c r="D377">
        <v>30</v>
      </c>
      <c r="E377" t="s">
        <v>35</v>
      </c>
      <c r="F377" s="1">
        <v>42444.563194444447</v>
      </c>
      <c r="G377" t="s">
        <v>76</v>
      </c>
      <c r="H377" t="s">
        <v>66</v>
      </c>
      <c r="I377" t="s">
        <v>681</v>
      </c>
      <c r="J377">
        <v>13</v>
      </c>
      <c r="K377" t="s">
        <v>49</v>
      </c>
      <c r="L377" t="s">
        <v>31</v>
      </c>
      <c r="M377" t="s">
        <v>23</v>
      </c>
      <c r="N377" t="s">
        <v>24</v>
      </c>
      <c r="O377" t="s">
        <v>44</v>
      </c>
    </row>
    <row r="378" spans="1:15" x14ac:dyDescent="0.35">
      <c r="A378">
        <v>831755</v>
      </c>
      <c r="B378" t="s">
        <v>15</v>
      </c>
      <c r="C378" t="s">
        <v>78</v>
      </c>
      <c r="D378">
        <v>30</v>
      </c>
      <c r="E378" t="s">
        <v>35</v>
      </c>
      <c r="F378" s="1">
        <v>42430.668749999997</v>
      </c>
      <c r="G378" t="s">
        <v>326</v>
      </c>
      <c r="H378" t="s">
        <v>91</v>
      </c>
      <c r="I378" t="s">
        <v>682</v>
      </c>
      <c r="J378">
        <v>16</v>
      </c>
      <c r="K378" t="s">
        <v>49</v>
      </c>
      <c r="L378" t="s">
        <v>31</v>
      </c>
      <c r="M378" t="s">
        <v>23</v>
      </c>
      <c r="N378" t="s">
        <v>24</v>
      </c>
      <c r="O378" t="s">
        <v>44</v>
      </c>
    </row>
    <row r="379" spans="1:15" x14ac:dyDescent="0.35">
      <c r="A379">
        <v>771848</v>
      </c>
      <c r="B379" t="s">
        <v>15</v>
      </c>
      <c r="C379" t="s">
        <v>78</v>
      </c>
      <c r="D379">
        <v>28</v>
      </c>
      <c r="E379" t="s">
        <v>35</v>
      </c>
      <c r="F379" s="1">
        <v>42411.48541666667</v>
      </c>
      <c r="G379" t="s">
        <v>384</v>
      </c>
      <c r="H379" t="s">
        <v>97</v>
      </c>
      <c r="I379" t="s">
        <v>683</v>
      </c>
      <c r="J379">
        <v>11</v>
      </c>
      <c r="K379" t="s">
        <v>63</v>
      </c>
      <c r="L379" t="s">
        <v>50</v>
      </c>
      <c r="M379" t="s">
        <v>23</v>
      </c>
      <c r="N379" t="s">
        <v>69</v>
      </c>
      <c r="O379" t="s">
        <v>44</v>
      </c>
    </row>
    <row r="380" spans="1:15" x14ac:dyDescent="0.35">
      <c r="A380">
        <v>771848</v>
      </c>
      <c r="B380" t="s">
        <v>15</v>
      </c>
      <c r="C380" t="s">
        <v>78</v>
      </c>
      <c r="D380">
        <v>28</v>
      </c>
      <c r="E380" t="s">
        <v>35</v>
      </c>
      <c r="F380" s="1">
        <v>42410.829861111109</v>
      </c>
      <c r="G380" t="s">
        <v>684</v>
      </c>
      <c r="H380" t="s">
        <v>51</v>
      </c>
      <c r="I380" t="s">
        <v>685</v>
      </c>
      <c r="J380">
        <v>19</v>
      </c>
      <c r="K380" t="s">
        <v>30</v>
      </c>
      <c r="L380" t="s">
        <v>50</v>
      </c>
      <c r="M380" t="s">
        <v>23</v>
      </c>
      <c r="N380" t="s">
        <v>69</v>
      </c>
      <c r="O380" t="s">
        <v>25</v>
      </c>
    </row>
    <row r="381" spans="1:15" x14ac:dyDescent="0.35">
      <c r="A381">
        <v>771848</v>
      </c>
      <c r="B381" t="s">
        <v>15</v>
      </c>
      <c r="C381" t="s">
        <v>78</v>
      </c>
      <c r="D381">
        <v>28</v>
      </c>
      <c r="E381" t="s">
        <v>35</v>
      </c>
      <c r="F381" s="1">
        <v>42370.787499999999</v>
      </c>
      <c r="G381" t="s">
        <v>686</v>
      </c>
      <c r="H381" t="s">
        <v>51</v>
      </c>
      <c r="I381" t="s">
        <v>687</v>
      </c>
      <c r="J381">
        <v>18</v>
      </c>
      <c r="K381" t="s">
        <v>42</v>
      </c>
      <c r="L381" t="s">
        <v>22</v>
      </c>
      <c r="M381" t="s">
        <v>23</v>
      </c>
      <c r="N381" t="s">
        <v>69</v>
      </c>
      <c r="O381" t="s">
        <v>25</v>
      </c>
    </row>
    <row r="382" spans="1:15" x14ac:dyDescent="0.35">
      <c r="A382">
        <v>771848</v>
      </c>
      <c r="B382" t="s">
        <v>15</v>
      </c>
      <c r="C382" t="s">
        <v>78</v>
      </c>
      <c r="D382">
        <v>28</v>
      </c>
      <c r="E382" t="s">
        <v>35</v>
      </c>
      <c r="F382" s="1">
        <v>42391.543055555558</v>
      </c>
      <c r="G382" t="s">
        <v>688</v>
      </c>
      <c r="H382" t="s">
        <v>71</v>
      </c>
      <c r="I382" t="s">
        <v>689</v>
      </c>
      <c r="J382">
        <v>13</v>
      </c>
      <c r="K382" t="s">
        <v>42</v>
      </c>
      <c r="L382" t="s">
        <v>22</v>
      </c>
      <c r="M382" t="s">
        <v>23</v>
      </c>
      <c r="N382" t="s">
        <v>69</v>
      </c>
      <c r="O382" t="s">
        <v>44</v>
      </c>
    </row>
    <row r="383" spans="1:15" x14ac:dyDescent="0.35">
      <c r="A383">
        <v>771848</v>
      </c>
      <c r="B383" t="s">
        <v>15</v>
      </c>
      <c r="C383" t="s">
        <v>78</v>
      </c>
      <c r="D383">
        <v>28</v>
      </c>
      <c r="E383" t="s">
        <v>35</v>
      </c>
      <c r="F383" s="1">
        <v>42387.529861111114</v>
      </c>
      <c r="G383" t="s">
        <v>690</v>
      </c>
      <c r="H383" t="s">
        <v>71</v>
      </c>
      <c r="I383" t="s">
        <v>691</v>
      </c>
      <c r="J383">
        <v>12</v>
      </c>
      <c r="K383" t="s">
        <v>21</v>
      </c>
      <c r="L383" t="s">
        <v>22</v>
      </c>
      <c r="M383" t="s">
        <v>23</v>
      </c>
      <c r="N383" t="s">
        <v>69</v>
      </c>
      <c r="O383" t="s">
        <v>44</v>
      </c>
    </row>
    <row r="384" spans="1:15" x14ac:dyDescent="0.35">
      <c r="A384">
        <v>764355</v>
      </c>
      <c r="B384" t="s">
        <v>15</v>
      </c>
      <c r="C384" t="s">
        <v>39</v>
      </c>
      <c r="D384">
        <v>24</v>
      </c>
      <c r="E384" t="s">
        <v>35</v>
      </c>
      <c r="F384" s="1">
        <v>42391.612500000003</v>
      </c>
      <c r="G384" t="s">
        <v>692</v>
      </c>
      <c r="H384" t="s">
        <v>54</v>
      </c>
      <c r="I384" t="s">
        <v>693</v>
      </c>
      <c r="J384">
        <v>14</v>
      </c>
      <c r="K384" t="s">
        <v>42</v>
      </c>
      <c r="L384" t="s">
        <v>22</v>
      </c>
      <c r="M384" t="s">
        <v>23</v>
      </c>
      <c r="N384" t="s">
        <v>69</v>
      </c>
      <c r="O384" t="s">
        <v>44</v>
      </c>
    </row>
    <row r="385" spans="1:15" x14ac:dyDescent="0.35">
      <c r="A385">
        <v>2255559</v>
      </c>
      <c r="B385" t="s">
        <v>15</v>
      </c>
      <c r="C385" t="s">
        <v>34</v>
      </c>
      <c r="D385">
        <v>27</v>
      </c>
      <c r="E385" t="s">
        <v>75</v>
      </c>
      <c r="F385" s="1">
        <v>42457.556944444441</v>
      </c>
      <c r="G385" t="s">
        <v>405</v>
      </c>
      <c r="H385" t="s">
        <v>71</v>
      </c>
      <c r="I385" t="s">
        <v>694</v>
      </c>
      <c r="J385">
        <v>13</v>
      </c>
      <c r="K385" t="s">
        <v>21</v>
      </c>
      <c r="L385" t="s">
        <v>31</v>
      </c>
      <c r="M385" t="s">
        <v>23</v>
      </c>
      <c r="N385" t="s">
        <v>69</v>
      </c>
      <c r="O385" t="s">
        <v>44</v>
      </c>
    </row>
    <row r="386" spans="1:15" x14ac:dyDescent="0.35">
      <c r="A386">
        <v>2255559</v>
      </c>
      <c r="B386" t="s">
        <v>15</v>
      </c>
      <c r="C386" t="s">
        <v>34</v>
      </c>
      <c r="D386">
        <v>27</v>
      </c>
      <c r="E386" t="s">
        <v>75</v>
      </c>
      <c r="F386" s="1">
        <v>42459.789583333331</v>
      </c>
      <c r="G386" t="s">
        <v>187</v>
      </c>
      <c r="H386" t="s">
        <v>225</v>
      </c>
      <c r="I386" t="s">
        <v>695</v>
      </c>
      <c r="J386">
        <v>18</v>
      </c>
      <c r="K386" t="s">
        <v>30</v>
      </c>
      <c r="L386" t="s">
        <v>31</v>
      </c>
      <c r="M386" t="s">
        <v>23</v>
      </c>
      <c r="N386" t="s">
        <v>69</v>
      </c>
      <c r="O386" t="s">
        <v>25</v>
      </c>
    </row>
    <row r="387" spans="1:15" x14ac:dyDescent="0.35">
      <c r="A387">
        <v>919180</v>
      </c>
      <c r="B387" t="s">
        <v>15</v>
      </c>
      <c r="C387" t="s">
        <v>16</v>
      </c>
      <c r="D387">
        <v>36</v>
      </c>
      <c r="E387" t="s">
        <v>17</v>
      </c>
      <c r="F387" s="1">
        <v>42455.380555555559</v>
      </c>
      <c r="G387" t="s">
        <v>497</v>
      </c>
      <c r="H387" t="s">
        <v>71</v>
      </c>
      <c r="I387" t="s">
        <v>696</v>
      </c>
      <c r="J387">
        <v>9</v>
      </c>
      <c r="K387" t="s">
        <v>68</v>
      </c>
      <c r="L387" t="s">
        <v>31</v>
      </c>
      <c r="M387" t="s">
        <v>57</v>
      </c>
      <c r="N387" t="s">
        <v>24</v>
      </c>
      <c r="O387" t="s">
        <v>33</v>
      </c>
    </row>
    <row r="388" spans="1:15" x14ac:dyDescent="0.35">
      <c r="A388">
        <v>771849</v>
      </c>
      <c r="B388" t="s">
        <v>15</v>
      </c>
      <c r="C388" t="s">
        <v>26</v>
      </c>
      <c r="D388">
        <v>55</v>
      </c>
      <c r="E388" t="s">
        <v>35</v>
      </c>
      <c r="F388" s="1">
        <v>42419.886805555558</v>
      </c>
      <c r="G388" t="s">
        <v>697</v>
      </c>
      <c r="H388" t="s">
        <v>106</v>
      </c>
      <c r="I388" t="s">
        <v>698</v>
      </c>
      <c r="J388">
        <v>21</v>
      </c>
      <c r="K388" t="s">
        <v>42</v>
      </c>
      <c r="L388" t="s">
        <v>50</v>
      </c>
      <c r="M388" t="s">
        <v>23</v>
      </c>
      <c r="N388" t="s">
        <v>43</v>
      </c>
      <c r="O388" t="s">
        <v>25</v>
      </c>
    </row>
    <row r="389" spans="1:15" x14ac:dyDescent="0.35">
      <c r="A389">
        <v>771849</v>
      </c>
      <c r="B389" t="s">
        <v>15</v>
      </c>
      <c r="C389" t="s">
        <v>26</v>
      </c>
      <c r="D389">
        <v>55</v>
      </c>
      <c r="E389" t="s">
        <v>35</v>
      </c>
      <c r="F389" s="1">
        <v>42419.890277777777</v>
      </c>
      <c r="G389" t="s">
        <v>90</v>
      </c>
      <c r="H389" t="s">
        <v>47</v>
      </c>
      <c r="I389" t="s">
        <v>699</v>
      </c>
      <c r="J389">
        <v>21</v>
      </c>
      <c r="K389" t="s">
        <v>42</v>
      </c>
      <c r="L389" t="s">
        <v>50</v>
      </c>
      <c r="M389" t="s">
        <v>23</v>
      </c>
      <c r="N389" t="s">
        <v>43</v>
      </c>
      <c r="O389" t="s">
        <v>25</v>
      </c>
    </row>
    <row r="390" spans="1:15" x14ac:dyDescent="0.35">
      <c r="A390">
        <v>771849</v>
      </c>
      <c r="B390" t="s">
        <v>15</v>
      </c>
      <c r="C390" t="s">
        <v>26</v>
      </c>
      <c r="D390">
        <v>55</v>
      </c>
      <c r="E390" t="s">
        <v>35</v>
      </c>
      <c r="F390" s="1">
        <v>42406.625</v>
      </c>
      <c r="G390" t="s">
        <v>99</v>
      </c>
      <c r="H390" t="s">
        <v>71</v>
      </c>
      <c r="I390" t="s">
        <v>700</v>
      </c>
      <c r="J390">
        <v>15</v>
      </c>
      <c r="K390" t="s">
        <v>68</v>
      </c>
      <c r="L390" t="s">
        <v>50</v>
      </c>
      <c r="M390" t="s">
        <v>57</v>
      </c>
      <c r="N390" t="s">
        <v>43</v>
      </c>
      <c r="O390" t="s">
        <v>44</v>
      </c>
    </row>
    <row r="391" spans="1:15" x14ac:dyDescent="0.35">
      <c r="A391">
        <v>808979</v>
      </c>
      <c r="B391" t="s">
        <v>38</v>
      </c>
      <c r="C391" t="s">
        <v>39</v>
      </c>
      <c r="D391">
        <v>26</v>
      </c>
      <c r="E391" t="s">
        <v>195</v>
      </c>
      <c r="F391" s="1">
        <v>42422.8125</v>
      </c>
      <c r="G391" t="s">
        <v>701</v>
      </c>
      <c r="H391" t="s">
        <v>91</v>
      </c>
      <c r="I391" t="s">
        <v>702</v>
      </c>
      <c r="J391">
        <v>19</v>
      </c>
      <c r="K391" t="s">
        <v>21</v>
      </c>
      <c r="L391" t="s">
        <v>50</v>
      </c>
      <c r="M391" t="s">
        <v>23</v>
      </c>
      <c r="N391" t="s">
        <v>69</v>
      </c>
      <c r="O391" t="s">
        <v>25</v>
      </c>
    </row>
    <row r="392" spans="1:15" x14ac:dyDescent="0.35">
      <c r="A392">
        <v>866197</v>
      </c>
      <c r="B392" t="s">
        <v>38</v>
      </c>
      <c r="C392" t="s">
        <v>16</v>
      </c>
      <c r="D392">
        <v>10</v>
      </c>
      <c r="E392" t="s">
        <v>64</v>
      </c>
      <c r="F392" s="1">
        <v>42440.717361111114</v>
      </c>
      <c r="G392" t="s">
        <v>703</v>
      </c>
      <c r="H392" t="s">
        <v>19</v>
      </c>
      <c r="I392" t="s">
        <v>704</v>
      </c>
      <c r="J392">
        <v>17</v>
      </c>
      <c r="K392" t="s">
        <v>42</v>
      </c>
      <c r="L392" t="s">
        <v>31</v>
      </c>
      <c r="M392" t="s">
        <v>23</v>
      </c>
      <c r="N392" t="s">
        <v>32</v>
      </c>
      <c r="O392" t="s">
        <v>25</v>
      </c>
    </row>
    <row r="393" spans="1:15" x14ac:dyDescent="0.35">
      <c r="A393">
        <v>777084</v>
      </c>
      <c r="B393" t="s">
        <v>15</v>
      </c>
      <c r="C393" t="s">
        <v>78</v>
      </c>
      <c r="D393">
        <v>28</v>
      </c>
      <c r="E393" t="s">
        <v>335</v>
      </c>
      <c r="F393" s="1">
        <v>42406.672222222223</v>
      </c>
      <c r="G393" t="s">
        <v>76</v>
      </c>
      <c r="H393" t="s">
        <v>71</v>
      </c>
      <c r="I393" t="s">
        <v>705</v>
      </c>
      <c r="J393">
        <v>16</v>
      </c>
      <c r="K393" t="s">
        <v>68</v>
      </c>
      <c r="L393" t="s">
        <v>50</v>
      </c>
      <c r="M393" t="s">
        <v>57</v>
      </c>
      <c r="N393" t="s">
        <v>69</v>
      </c>
      <c r="O393" t="s">
        <v>44</v>
      </c>
    </row>
    <row r="394" spans="1:15" x14ac:dyDescent="0.35">
      <c r="A394">
        <v>621621</v>
      </c>
      <c r="B394" t="s">
        <v>15</v>
      </c>
      <c r="C394" t="s">
        <v>78</v>
      </c>
      <c r="D394">
        <v>23</v>
      </c>
      <c r="E394" t="s">
        <v>35</v>
      </c>
      <c r="F394" s="1">
        <v>42386.63958333333</v>
      </c>
      <c r="G394" t="s">
        <v>215</v>
      </c>
      <c r="H394" t="s">
        <v>47</v>
      </c>
      <c r="I394" t="s">
        <v>706</v>
      </c>
      <c r="J394">
        <v>15</v>
      </c>
      <c r="K394" t="s">
        <v>56</v>
      </c>
      <c r="L394" t="s">
        <v>22</v>
      </c>
      <c r="M394" t="s">
        <v>57</v>
      </c>
      <c r="N394" t="s">
        <v>69</v>
      </c>
      <c r="O394" t="s">
        <v>44</v>
      </c>
    </row>
    <row r="395" spans="1:15" x14ac:dyDescent="0.35">
      <c r="A395">
        <v>808983</v>
      </c>
      <c r="B395" t="s">
        <v>15</v>
      </c>
      <c r="C395" t="s">
        <v>16</v>
      </c>
      <c r="D395">
        <v>45</v>
      </c>
      <c r="E395" t="s">
        <v>17</v>
      </c>
      <c r="F395" s="1">
        <v>42415.861805555556</v>
      </c>
      <c r="G395" t="s">
        <v>707</v>
      </c>
      <c r="H395" t="s">
        <v>116</v>
      </c>
      <c r="I395" t="s">
        <v>708</v>
      </c>
      <c r="J395">
        <v>20</v>
      </c>
      <c r="K395" t="s">
        <v>21</v>
      </c>
      <c r="L395" t="s">
        <v>50</v>
      </c>
      <c r="M395" t="s">
        <v>23</v>
      </c>
      <c r="N395" t="s">
        <v>93</v>
      </c>
      <c r="O395" t="s">
        <v>25</v>
      </c>
    </row>
    <row r="396" spans="1:15" x14ac:dyDescent="0.35">
      <c r="A396">
        <v>772142</v>
      </c>
      <c r="B396" t="s">
        <v>15</v>
      </c>
      <c r="C396" t="s">
        <v>34</v>
      </c>
      <c r="D396">
        <v>32</v>
      </c>
      <c r="E396" t="s">
        <v>17</v>
      </c>
      <c r="F396" s="1">
        <v>42439.840277777781</v>
      </c>
      <c r="G396" t="s">
        <v>690</v>
      </c>
      <c r="H396" t="s">
        <v>51</v>
      </c>
      <c r="I396" t="s">
        <v>709</v>
      </c>
      <c r="J396">
        <v>20</v>
      </c>
      <c r="K396" t="s">
        <v>63</v>
      </c>
      <c r="L396" t="s">
        <v>31</v>
      </c>
      <c r="M396" t="s">
        <v>23</v>
      </c>
      <c r="N396" t="s">
        <v>24</v>
      </c>
      <c r="O396" t="s">
        <v>25</v>
      </c>
    </row>
    <row r="397" spans="1:15" x14ac:dyDescent="0.35">
      <c r="A397">
        <v>808983</v>
      </c>
      <c r="B397" t="s">
        <v>15</v>
      </c>
      <c r="C397" t="s">
        <v>16</v>
      </c>
      <c r="D397">
        <v>45</v>
      </c>
      <c r="E397" t="s">
        <v>17</v>
      </c>
      <c r="F397" s="1">
        <v>42413.81527777778</v>
      </c>
      <c r="G397" t="s">
        <v>76</v>
      </c>
      <c r="H397" t="s">
        <v>710</v>
      </c>
      <c r="I397" t="s">
        <v>711</v>
      </c>
      <c r="J397">
        <v>19</v>
      </c>
      <c r="K397" t="s">
        <v>68</v>
      </c>
      <c r="L397" t="s">
        <v>50</v>
      </c>
      <c r="M397" t="s">
        <v>57</v>
      </c>
      <c r="N397" t="s">
        <v>93</v>
      </c>
      <c r="O397" t="s">
        <v>25</v>
      </c>
    </row>
    <row r="398" spans="1:15" x14ac:dyDescent="0.35">
      <c r="A398">
        <v>771003</v>
      </c>
      <c r="B398" t="s">
        <v>15</v>
      </c>
      <c r="C398" t="s">
        <v>16</v>
      </c>
      <c r="D398">
        <v>31</v>
      </c>
      <c r="E398" t="s">
        <v>17</v>
      </c>
      <c r="F398" s="1">
        <v>42426.470138888886</v>
      </c>
      <c r="G398" t="s">
        <v>302</v>
      </c>
      <c r="H398" t="s">
        <v>28</v>
      </c>
      <c r="I398" t="s">
        <v>712</v>
      </c>
      <c r="J398">
        <v>11</v>
      </c>
      <c r="K398" t="s">
        <v>42</v>
      </c>
      <c r="L398" t="s">
        <v>50</v>
      </c>
      <c r="M398" t="s">
        <v>23</v>
      </c>
      <c r="N398" t="s">
        <v>24</v>
      </c>
      <c r="O398" t="s">
        <v>44</v>
      </c>
    </row>
    <row r="399" spans="1:15" x14ac:dyDescent="0.35">
      <c r="A399">
        <v>771003</v>
      </c>
      <c r="B399" t="s">
        <v>15</v>
      </c>
      <c r="C399" t="s">
        <v>16</v>
      </c>
      <c r="D399">
        <v>31</v>
      </c>
      <c r="E399" t="s">
        <v>17</v>
      </c>
      <c r="F399" s="1">
        <v>42426.59097222222</v>
      </c>
      <c r="G399" t="s">
        <v>206</v>
      </c>
      <c r="H399" t="s">
        <v>66</v>
      </c>
      <c r="I399" t="s">
        <v>713</v>
      </c>
      <c r="J399">
        <v>14</v>
      </c>
      <c r="K399" t="s">
        <v>42</v>
      </c>
      <c r="L399" t="s">
        <v>50</v>
      </c>
      <c r="M399" t="s">
        <v>23</v>
      </c>
      <c r="N399" t="s">
        <v>24</v>
      </c>
      <c r="O399" t="s">
        <v>44</v>
      </c>
    </row>
    <row r="400" spans="1:15" x14ac:dyDescent="0.35">
      <c r="A400">
        <v>771003</v>
      </c>
      <c r="B400" t="s">
        <v>15</v>
      </c>
      <c r="C400" t="s">
        <v>16</v>
      </c>
      <c r="D400">
        <v>31</v>
      </c>
      <c r="E400" t="s">
        <v>17</v>
      </c>
      <c r="F400" s="1">
        <v>42427.683333333334</v>
      </c>
      <c r="G400" t="s">
        <v>36</v>
      </c>
      <c r="H400" t="s">
        <v>47</v>
      </c>
      <c r="I400" t="s">
        <v>714</v>
      </c>
      <c r="J400">
        <v>16</v>
      </c>
      <c r="K400" t="s">
        <v>68</v>
      </c>
      <c r="L400" t="s">
        <v>50</v>
      </c>
      <c r="M400" t="s">
        <v>57</v>
      </c>
      <c r="N400" t="s">
        <v>24</v>
      </c>
      <c r="O400" t="s">
        <v>44</v>
      </c>
    </row>
    <row r="401" spans="1:15" x14ac:dyDescent="0.35">
      <c r="A401">
        <v>808984</v>
      </c>
      <c r="B401" t="s">
        <v>15</v>
      </c>
      <c r="C401" t="s">
        <v>16</v>
      </c>
      <c r="D401">
        <v>42</v>
      </c>
      <c r="E401" t="s">
        <v>17</v>
      </c>
      <c r="F401" s="1">
        <v>42419.665277777778</v>
      </c>
      <c r="G401" t="s">
        <v>452</v>
      </c>
      <c r="H401" t="s">
        <v>102</v>
      </c>
      <c r="I401" t="s">
        <v>715</v>
      </c>
      <c r="J401">
        <v>15</v>
      </c>
      <c r="K401" t="s">
        <v>42</v>
      </c>
      <c r="L401" t="s">
        <v>50</v>
      </c>
      <c r="M401" t="s">
        <v>23</v>
      </c>
      <c r="N401" t="s">
        <v>93</v>
      </c>
      <c r="O401" t="s">
        <v>44</v>
      </c>
    </row>
    <row r="402" spans="1:15" x14ac:dyDescent="0.35">
      <c r="A402">
        <v>771855</v>
      </c>
      <c r="B402" t="s">
        <v>38</v>
      </c>
      <c r="C402" t="s">
        <v>78</v>
      </c>
      <c r="D402">
        <v>45</v>
      </c>
      <c r="E402" t="s">
        <v>335</v>
      </c>
      <c r="F402" s="1">
        <v>42419.052083333336</v>
      </c>
      <c r="G402" t="s">
        <v>716</v>
      </c>
      <c r="H402" t="s">
        <v>106</v>
      </c>
      <c r="I402" t="s">
        <v>717</v>
      </c>
      <c r="J402">
        <v>1</v>
      </c>
      <c r="K402" t="s">
        <v>42</v>
      </c>
      <c r="L402" t="s">
        <v>50</v>
      </c>
      <c r="M402" t="s">
        <v>23</v>
      </c>
      <c r="N402" t="s">
        <v>93</v>
      </c>
      <c r="O402" t="s">
        <v>58</v>
      </c>
    </row>
    <row r="403" spans="1:15" x14ac:dyDescent="0.35">
      <c r="A403">
        <v>733281</v>
      </c>
      <c r="B403" t="s">
        <v>15</v>
      </c>
      <c r="C403" t="s">
        <v>78</v>
      </c>
      <c r="D403">
        <v>35</v>
      </c>
      <c r="E403" t="s">
        <v>35</v>
      </c>
      <c r="F403" s="1">
        <v>42395.67291666667</v>
      </c>
      <c r="G403" t="s">
        <v>70</v>
      </c>
      <c r="H403" t="s">
        <v>19</v>
      </c>
      <c r="I403" t="s">
        <v>718</v>
      </c>
      <c r="J403">
        <v>16</v>
      </c>
      <c r="K403" t="s">
        <v>49</v>
      </c>
      <c r="L403" t="s">
        <v>22</v>
      </c>
      <c r="M403" t="s">
        <v>23</v>
      </c>
      <c r="N403" t="s">
        <v>24</v>
      </c>
      <c r="O403" t="s">
        <v>44</v>
      </c>
    </row>
    <row r="404" spans="1:15" x14ac:dyDescent="0.35">
      <c r="A404">
        <v>892523</v>
      </c>
      <c r="B404" t="s">
        <v>15</v>
      </c>
      <c r="C404" t="s">
        <v>16</v>
      </c>
      <c r="D404">
        <v>29</v>
      </c>
      <c r="E404" t="s">
        <v>134</v>
      </c>
      <c r="F404" s="1">
        <v>42447.555555555555</v>
      </c>
      <c r="G404" t="s">
        <v>36</v>
      </c>
      <c r="H404" t="s">
        <v>106</v>
      </c>
      <c r="I404" t="s">
        <v>719</v>
      </c>
      <c r="J404">
        <v>13</v>
      </c>
      <c r="K404" t="s">
        <v>42</v>
      </c>
      <c r="L404" t="s">
        <v>31</v>
      </c>
      <c r="M404" t="s">
        <v>23</v>
      </c>
      <c r="N404" t="s">
        <v>24</v>
      </c>
      <c r="O404" t="s">
        <v>44</v>
      </c>
    </row>
    <row r="405" spans="1:15" x14ac:dyDescent="0.35">
      <c r="A405">
        <v>892523</v>
      </c>
      <c r="B405" t="s">
        <v>15</v>
      </c>
      <c r="C405" t="s">
        <v>16</v>
      </c>
      <c r="D405">
        <v>29</v>
      </c>
      <c r="E405" t="s">
        <v>134</v>
      </c>
      <c r="F405" s="1">
        <v>42448.463888888888</v>
      </c>
      <c r="G405" t="s">
        <v>720</v>
      </c>
      <c r="H405" t="s">
        <v>106</v>
      </c>
      <c r="I405" t="s">
        <v>721</v>
      </c>
      <c r="J405">
        <v>11</v>
      </c>
      <c r="K405" t="s">
        <v>68</v>
      </c>
      <c r="L405" t="s">
        <v>31</v>
      </c>
      <c r="M405" t="s">
        <v>57</v>
      </c>
      <c r="N405" t="s">
        <v>24</v>
      </c>
      <c r="O405" t="s">
        <v>44</v>
      </c>
    </row>
    <row r="406" spans="1:15" x14ac:dyDescent="0.35">
      <c r="A406">
        <v>892523</v>
      </c>
      <c r="B406" t="s">
        <v>15</v>
      </c>
      <c r="C406" t="s">
        <v>16</v>
      </c>
      <c r="D406">
        <v>29</v>
      </c>
      <c r="E406" t="s">
        <v>134</v>
      </c>
      <c r="F406" s="1">
        <v>42445.442361111112</v>
      </c>
      <c r="G406" t="s">
        <v>143</v>
      </c>
      <c r="H406" t="s">
        <v>28</v>
      </c>
      <c r="I406" t="s">
        <v>722</v>
      </c>
      <c r="J406">
        <v>10</v>
      </c>
      <c r="K406" t="s">
        <v>30</v>
      </c>
      <c r="L406" t="s">
        <v>31</v>
      </c>
      <c r="M406" t="s">
        <v>23</v>
      </c>
      <c r="N406" t="s">
        <v>24</v>
      </c>
      <c r="O406" t="s">
        <v>33</v>
      </c>
    </row>
    <row r="407" spans="1:15" x14ac:dyDescent="0.35">
      <c r="A407">
        <v>892523</v>
      </c>
      <c r="B407" t="s">
        <v>15</v>
      </c>
      <c r="C407" t="s">
        <v>16</v>
      </c>
      <c r="D407">
        <v>29</v>
      </c>
      <c r="E407" t="s">
        <v>134</v>
      </c>
      <c r="F407" s="1">
        <v>42456.459027777775</v>
      </c>
      <c r="G407" t="s">
        <v>76</v>
      </c>
      <c r="H407" t="s">
        <v>106</v>
      </c>
      <c r="I407" t="s">
        <v>723</v>
      </c>
      <c r="J407">
        <v>11</v>
      </c>
      <c r="K407" t="s">
        <v>56</v>
      </c>
      <c r="L407" t="s">
        <v>31</v>
      </c>
      <c r="M407" t="s">
        <v>57</v>
      </c>
      <c r="N407" t="s">
        <v>24</v>
      </c>
      <c r="O407" t="s">
        <v>44</v>
      </c>
    </row>
    <row r="408" spans="1:15" x14ac:dyDescent="0.35">
      <c r="A408">
        <v>892523</v>
      </c>
      <c r="B408" t="s">
        <v>15</v>
      </c>
      <c r="C408" t="s">
        <v>16</v>
      </c>
      <c r="D408">
        <v>29</v>
      </c>
      <c r="E408" t="s">
        <v>134</v>
      </c>
      <c r="F408" s="1">
        <v>42456.848611111112</v>
      </c>
      <c r="G408" t="s">
        <v>724</v>
      </c>
      <c r="H408" t="s">
        <v>19</v>
      </c>
      <c r="I408" t="s">
        <v>725</v>
      </c>
      <c r="J408">
        <v>20</v>
      </c>
      <c r="K408" t="s">
        <v>56</v>
      </c>
      <c r="L408" t="s">
        <v>31</v>
      </c>
      <c r="M408" t="s">
        <v>57</v>
      </c>
      <c r="N408" t="s">
        <v>24</v>
      </c>
      <c r="O408" t="s">
        <v>25</v>
      </c>
    </row>
    <row r="409" spans="1:15" x14ac:dyDescent="0.35">
      <c r="A409">
        <v>892523</v>
      </c>
      <c r="B409" t="s">
        <v>15</v>
      </c>
      <c r="C409" t="s">
        <v>16</v>
      </c>
      <c r="D409">
        <v>29</v>
      </c>
      <c r="E409" t="s">
        <v>134</v>
      </c>
      <c r="F409" s="1">
        <v>42455.4375</v>
      </c>
      <c r="G409" t="s">
        <v>726</v>
      </c>
      <c r="H409" t="s">
        <v>66</v>
      </c>
      <c r="I409" t="s">
        <v>727</v>
      </c>
      <c r="J409">
        <v>10</v>
      </c>
      <c r="K409" t="s">
        <v>68</v>
      </c>
      <c r="L409" t="s">
        <v>31</v>
      </c>
      <c r="M409" t="s">
        <v>57</v>
      </c>
      <c r="N409" t="s">
        <v>24</v>
      </c>
      <c r="O409" t="s">
        <v>33</v>
      </c>
    </row>
    <row r="410" spans="1:15" x14ac:dyDescent="0.35">
      <c r="A410">
        <v>892523</v>
      </c>
      <c r="B410" t="s">
        <v>15</v>
      </c>
      <c r="C410" t="s">
        <v>16</v>
      </c>
      <c r="D410">
        <v>29</v>
      </c>
      <c r="E410" t="s">
        <v>134</v>
      </c>
      <c r="F410" s="1">
        <v>42450.229166666664</v>
      </c>
      <c r="G410" t="s">
        <v>728</v>
      </c>
      <c r="H410" t="s">
        <v>19</v>
      </c>
      <c r="I410" t="s">
        <v>729</v>
      </c>
      <c r="J410">
        <v>5</v>
      </c>
      <c r="K410" t="s">
        <v>21</v>
      </c>
      <c r="L410" t="s">
        <v>31</v>
      </c>
      <c r="M410" t="s">
        <v>23</v>
      </c>
      <c r="N410" t="s">
        <v>24</v>
      </c>
      <c r="O410" t="s">
        <v>33</v>
      </c>
    </row>
    <row r="411" spans="1:15" x14ac:dyDescent="0.35">
      <c r="A411">
        <v>892523</v>
      </c>
      <c r="B411" t="s">
        <v>15</v>
      </c>
      <c r="C411" t="s">
        <v>16</v>
      </c>
      <c r="D411">
        <v>29</v>
      </c>
      <c r="E411" t="s">
        <v>134</v>
      </c>
      <c r="F411" s="1">
        <v>42450.368055555555</v>
      </c>
      <c r="G411" t="s">
        <v>532</v>
      </c>
      <c r="H411" t="s">
        <v>19</v>
      </c>
      <c r="I411" t="s">
        <v>730</v>
      </c>
      <c r="J411">
        <v>8</v>
      </c>
      <c r="K411" t="s">
        <v>21</v>
      </c>
      <c r="L411" t="s">
        <v>31</v>
      </c>
      <c r="M411" t="s">
        <v>23</v>
      </c>
      <c r="N411" t="s">
        <v>24</v>
      </c>
      <c r="O411" t="s">
        <v>33</v>
      </c>
    </row>
    <row r="412" spans="1:15" x14ac:dyDescent="0.35">
      <c r="A412">
        <v>892523</v>
      </c>
      <c r="B412" t="s">
        <v>15</v>
      </c>
      <c r="C412" t="s">
        <v>16</v>
      </c>
      <c r="D412">
        <v>29</v>
      </c>
      <c r="E412" t="s">
        <v>134</v>
      </c>
      <c r="F412" s="1">
        <v>42450.765972222223</v>
      </c>
      <c r="G412" t="s">
        <v>641</v>
      </c>
      <c r="H412" t="s">
        <v>106</v>
      </c>
      <c r="I412" t="s">
        <v>731</v>
      </c>
      <c r="J412">
        <v>18</v>
      </c>
      <c r="K412" t="s">
        <v>21</v>
      </c>
      <c r="L412" t="s">
        <v>31</v>
      </c>
      <c r="M412" t="s">
        <v>23</v>
      </c>
      <c r="N412" t="s">
        <v>24</v>
      </c>
      <c r="O412" t="s">
        <v>25</v>
      </c>
    </row>
    <row r="413" spans="1:15" x14ac:dyDescent="0.35">
      <c r="A413">
        <v>771856</v>
      </c>
      <c r="B413" t="s">
        <v>15</v>
      </c>
      <c r="C413" t="s">
        <v>26</v>
      </c>
      <c r="D413">
        <v>24</v>
      </c>
      <c r="E413" t="s">
        <v>64</v>
      </c>
      <c r="F413" s="1">
        <v>42406.394444444442</v>
      </c>
      <c r="G413" t="s">
        <v>520</v>
      </c>
      <c r="H413" t="s">
        <v>19</v>
      </c>
      <c r="I413" t="s">
        <v>732</v>
      </c>
      <c r="J413">
        <v>9</v>
      </c>
      <c r="K413" t="s">
        <v>68</v>
      </c>
      <c r="L413" t="s">
        <v>50</v>
      </c>
      <c r="M413" t="s">
        <v>57</v>
      </c>
      <c r="N413" t="s">
        <v>69</v>
      </c>
      <c r="O413" t="s">
        <v>33</v>
      </c>
    </row>
    <row r="414" spans="1:15" x14ac:dyDescent="0.35">
      <c r="A414">
        <v>808988</v>
      </c>
      <c r="B414" t="s">
        <v>15</v>
      </c>
      <c r="C414" t="s">
        <v>78</v>
      </c>
      <c r="D414">
        <v>34</v>
      </c>
      <c r="E414" t="s">
        <v>35</v>
      </c>
      <c r="F414" s="1">
        <v>42420.570138888892</v>
      </c>
      <c r="G414" t="s">
        <v>361</v>
      </c>
      <c r="H414" t="s">
        <v>116</v>
      </c>
      <c r="I414" t="s">
        <v>733</v>
      </c>
      <c r="J414">
        <v>13</v>
      </c>
      <c r="K414" t="s">
        <v>68</v>
      </c>
      <c r="L414" t="s">
        <v>50</v>
      </c>
      <c r="M414" t="s">
        <v>57</v>
      </c>
      <c r="N414" t="s">
        <v>24</v>
      </c>
      <c r="O414" t="s">
        <v>44</v>
      </c>
    </row>
    <row r="415" spans="1:15" x14ac:dyDescent="0.35">
      <c r="A415">
        <v>808988</v>
      </c>
      <c r="B415" t="s">
        <v>15</v>
      </c>
      <c r="C415" t="s">
        <v>78</v>
      </c>
      <c r="D415">
        <v>34</v>
      </c>
      <c r="E415" t="s">
        <v>35</v>
      </c>
      <c r="F415" s="1">
        <v>42420.658333333333</v>
      </c>
      <c r="G415" t="s">
        <v>560</v>
      </c>
      <c r="H415" t="s">
        <v>71</v>
      </c>
      <c r="I415" t="s">
        <v>734</v>
      </c>
      <c r="J415">
        <v>15</v>
      </c>
      <c r="K415" t="s">
        <v>68</v>
      </c>
      <c r="L415" t="s">
        <v>50</v>
      </c>
      <c r="M415" t="s">
        <v>57</v>
      </c>
      <c r="N415" t="s">
        <v>24</v>
      </c>
      <c r="O415" t="s">
        <v>44</v>
      </c>
    </row>
    <row r="416" spans="1:15" x14ac:dyDescent="0.35">
      <c r="A416">
        <v>808988</v>
      </c>
      <c r="B416" t="s">
        <v>15</v>
      </c>
      <c r="C416" t="s">
        <v>78</v>
      </c>
      <c r="D416">
        <v>34</v>
      </c>
      <c r="E416" t="s">
        <v>35</v>
      </c>
      <c r="F416" s="1">
        <v>42420.918055555558</v>
      </c>
      <c r="G416" t="s">
        <v>735</v>
      </c>
      <c r="H416" t="s">
        <v>54</v>
      </c>
      <c r="I416" t="s">
        <v>736</v>
      </c>
      <c r="J416">
        <v>22</v>
      </c>
      <c r="K416" t="s">
        <v>68</v>
      </c>
      <c r="L416" t="s">
        <v>50</v>
      </c>
      <c r="M416" t="s">
        <v>57</v>
      </c>
      <c r="N416" t="s">
        <v>24</v>
      </c>
      <c r="O416" t="s">
        <v>104</v>
      </c>
    </row>
    <row r="417" spans="1:15" x14ac:dyDescent="0.35">
      <c r="A417">
        <v>808988</v>
      </c>
      <c r="B417" t="s">
        <v>15</v>
      </c>
      <c r="C417" t="s">
        <v>78</v>
      </c>
      <c r="D417">
        <v>34</v>
      </c>
      <c r="E417" t="s">
        <v>35</v>
      </c>
      <c r="F417" s="1">
        <v>42420.919444444444</v>
      </c>
      <c r="G417" t="s">
        <v>692</v>
      </c>
      <c r="H417" t="s">
        <v>116</v>
      </c>
      <c r="I417" t="s">
        <v>737</v>
      </c>
      <c r="J417">
        <v>22</v>
      </c>
      <c r="K417" t="s">
        <v>68</v>
      </c>
      <c r="L417" t="s">
        <v>50</v>
      </c>
      <c r="M417" t="s">
        <v>57</v>
      </c>
      <c r="N417" t="s">
        <v>24</v>
      </c>
      <c r="O417" t="s">
        <v>104</v>
      </c>
    </row>
    <row r="418" spans="1:15" x14ac:dyDescent="0.35">
      <c r="A418">
        <v>730254</v>
      </c>
      <c r="B418" t="s">
        <v>15</v>
      </c>
      <c r="C418" t="s">
        <v>78</v>
      </c>
      <c r="D418">
        <v>26</v>
      </c>
      <c r="E418" t="s">
        <v>35</v>
      </c>
      <c r="F418" s="1">
        <v>42390.376388888886</v>
      </c>
      <c r="G418" t="s">
        <v>738</v>
      </c>
      <c r="H418" t="s">
        <v>54</v>
      </c>
      <c r="I418" t="s">
        <v>739</v>
      </c>
      <c r="J418">
        <v>9</v>
      </c>
      <c r="K418" t="s">
        <v>63</v>
      </c>
      <c r="L418" t="s">
        <v>22</v>
      </c>
      <c r="M418" t="s">
        <v>23</v>
      </c>
      <c r="N418" t="s">
        <v>69</v>
      </c>
      <c r="O418" t="s">
        <v>33</v>
      </c>
    </row>
    <row r="419" spans="1:15" x14ac:dyDescent="0.35">
      <c r="A419">
        <v>771858</v>
      </c>
      <c r="B419" t="s">
        <v>15</v>
      </c>
      <c r="C419" t="s">
        <v>39</v>
      </c>
      <c r="D419">
        <v>27</v>
      </c>
      <c r="E419" t="s">
        <v>35</v>
      </c>
      <c r="F419" s="1">
        <v>42434.484027777777</v>
      </c>
      <c r="G419" t="s">
        <v>389</v>
      </c>
      <c r="H419" t="s">
        <v>71</v>
      </c>
      <c r="I419" t="s">
        <v>740</v>
      </c>
      <c r="J419">
        <v>11</v>
      </c>
      <c r="K419" t="s">
        <v>68</v>
      </c>
      <c r="L419" t="s">
        <v>31</v>
      </c>
      <c r="M419" t="s">
        <v>57</v>
      </c>
      <c r="N419" t="s">
        <v>69</v>
      </c>
      <c r="O419" t="s">
        <v>44</v>
      </c>
    </row>
    <row r="420" spans="1:15" x14ac:dyDescent="0.35">
      <c r="A420">
        <v>866202</v>
      </c>
      <c r="B420" t="s">
        <v>15</v>
      </c>
      <c r="C420" t="s">
        <v>34</v>
      </c>
      <c r="D420">
        <v>24</v>
      </c>
      <c r="E420" t="s">
        <v>35</v>
      </c>
      <c r="F420" s="1">
        <v>42445.479861111111</v>
      </c>
      <c r="G420" t="s">
        <v>441</v>
      </c>
      <c r="H420" t="s">
        <v>28</v>
      </c>
      <c r="I420" t="s">
        <v>741</v>
      </c>
      <c r="J420">
        <v>11</v>
      </c>
      <c r="K420" t="s">
        <v>30</v>
      </c>
      <c r="L420" t="s">
        <v>31</v>
      </c>
      <c r="M420" t="s">
        <v>23</v>
      </c>
      <c r="N420" t="s">
        <v>69</v>
      </c>
      <c r="O420" t="s">
        <v>44</v>
      </c>
    </row>
    <row r="421" spans="1:15" x14ac:dyDescent="0.35">
      <c r="A421">
        <v>808990</v>
      </c>
      <c r="B421" t="s">
        <v>15</v>
      </c>
      <c r="C421" t="s">
        <v>16</v>
      </c>
      <c r="D421">
        <v>39</v>
      </c>
      <c r="E421" t="s">
        <v>17</v>
      </c>
      <c r="F421" s="1">
        <v>42424.365972222222</v>
      </c>
      <c r="G421" t="s">
        <v>403</v>
      </c>
      <c r="H421" t="s">
        <v>28</v>
      </c>
      <c r="I421" t="s">
        <v>742</v>
      </c>
      <c r="J421">
        <v>8</v>
      </c>
      <c r="K421" t="s">
        <v>30</v>
      </c>
      <c r="L421" t="s">
        <v>50</v>
      </c>
      <c r="M421" t="s">
        <v>23</v>
      </c>
      <c r="N421" t="s">
        <v>93</v>
      </c>
      <c r="O421" t="s">
        <v>33</v>
      </c>
    </row>
    <row r="422" spans="1:15" x14ac:dyDescent="0.35">
      <c r="A422">
        <v>2090526</v>
      </c>
      <c r="B422" t="s">
        <v>15</v>
      </c>
      <c r="C422" t="s">
        <v>78</v>
      </c>
      <c r="D422">
        <v>52</v>
      </c>
      <c r="E422" t="s">
        <v>75</v>
      </c>
      <c r="F422" s="1">
        <v>42421.762499999997</v>
      </c>
      <c r="G422" t="s">
        <v>577</v>
      </c>
      <c r="H422" t="s">
        <v>106</v>
      </c>
      <c r="I422" t="s">
        <v>743</v>
      </c>
      <c r="J422">
        <v>18</v>
      </c>
      <c r="K422" t="s">
        <v>56</v>
      </c>
      <c r="L422" t="s">
        <v>50</v>
      </c>
      <c r="M422" t="s">
        <v>57</v>
      </c>
      <c r="N422" t="s">
        <v>43</v>
      </c>
      <c r="O422" t="s">
        <v>25</v>
      </c>
    </row>
    <row r="423" spans="1:15" x14ac:dyDescent="0.35">
      <c r="A423">
        <v>2090526</v>
      </c>
      <c r="B423" t="s">
        <v>15</v>
      </c>
      <c r="C423" t="s">
        <v>78</v>
      </c>
      <c r="D423">
        <v>52</v>
      </c>
      <c r="E423" t="s">
        <v>75</v>
      </c>
      <c r="F423" s="1">
        <v>42414.495833333334</v>
      </c>
      <c r="G423" t="s">
        <v>174</v>
      </c>
      <c r="H423" t="s">
        <v>106</v>
      </c>
      <c r="I423" t="s">
        <v>744</v>
      </c>
      <c r="J423">
        <v>11</v>
      </c>
      <c r="K423" t="s">
        <v>56</v>
      </c>
      <c r="L423" t="s">
        <v>50</v>
      </c>
      <c r="M423" t="s">
        <v>57</v>
      </c>
      <c r="N423" t="s">
        <v>43</v>
      </c>
      <c r="O423" t="s">
        <v>44</v>
      </c>
    </row>
    <row r="424" spans="1:15" x14ac:dyDescent="0.35">
      <c r="A424">
        <v>2090526</v>
      </c>
      <c r="B424" t="s">
        <v>15</v>
      </c>
      <c r="C424" t="s">
        <v>78</v>
      </c>
      <c r="D424">
        <v>52</v>
      </c>
      <c r="E424" t="s">
        <v>75</v>
      </c>
      <c r="F424" s="1">
        <v>42453.070138888892</v>
      </c>
      <c r="G424" t="s">
        <v>745</v>
      </c>
      <c r="H424" t="s">
        <v>106</v>
      </c>
      <c r="I424" t="s">
        <v>746</v>
      </c>
      <c r="J424">
        <v>1</v>
      </c>
      <c r="K424" t="s">
        <v>63</v>
      </c>
      <c r="L424" t="s">
        <v>31</v>
      </c>
      <c r="M424" t="s">
        <v>23</v>
      </c>
      <c r="N424" t="s">
        <v>43</v>
      </c>
      <c r="O424" t="s">
        <v>58</v>
      </c>
    </row>
    <row r="425" spans="1:15" x14ac:dyDescent="0.35">
      <c r="A425">
        <v>2090526</v>
      </c>
      <c r="B425" t="s">
        <v>15</v>
      </c>
      <c r="C425" t="s">
        <v>78</v>
      </c>
      <c r="D425">
        <v>52</v>
      </c>
      <c r="E425" t="s">
        <v>75</v>
      </c>
      <c r="F425" s="1">
        <v>42392.252083333333</v>
      </c>
      <c r="G425" t="s">
        <v>747</v>
      </c>
      <c r="H425" t="s">
        <v>51</v>
      </c>
      <c r="I425" t="s">
        <v>748</v>
      </c>
      <c r="J425">
        <v>6</v>
      </c>
      <c r="K425" t="s">
        <v>68</v>
      </c>
      <c r="L425" t="s">
        <v>22</v>
      </c>
      <c r="M425" t="s">
        <v>57</v>
      </c>
      <c r="N425" t="s">
        <v>43</v>
      </c>
      <c r="O425" t="s">
        <v>33</v>
      </c>
    </row>
    <row r="426" spans="1:15" x14ac:dyDescent="0.35">
      <c r="A426">
        <v>2090526</v>
      </c>
      <c r="B426" t="s">
        <v>15</v>
      </c>
      <c r="C426" t="s">
        <v>78</v>
      </c>
      <c r="D426">
        <v>52</v>
      </c>
      <c r="E426" t="s">
        <v>75</v>
      </c>
      <c r="F426" s="1">
        <v>42433.899305555555</v>
      </c>
      <c r="G426" t="s">
        <v>749</v>
      </c>
      <c r="H426" t="s">
        <v>106</v>
      </c>
      <c r="I426" t="s">
        <v>750</v>
      </c>
      <c r="J426">
        <v>21</v>
      </c>
      <c r="K426" t="s">
        <v>42</v>
      </c>
      <c r="L426" t="s">
        <v>31</v>
      </c>
      <c r="M426" t="s">
        <v>23</v>
      </c>
      <c r="N426" t="s">
        <v>43</v>
      </c>
      <c r="O426" t="s">
        <v>25</v>
      </c>
    </row>
    <row r="427" spans="1:15" x14ac:dyDescent="0.35">
      <c r="A427">
        <v>2090526</v>
      </c>
      <c r="B427" t="s">
        <v>15</v>
      </c>
      <c r="C427" t="s">
        <v>78</v>
      </c>
      <c r="D427">
        <v>52</v>
      </c>
      <c r="E427" t="s">
        <v>75</v>
      </c>
      <c r="F427" s="1">
        <v>42399.486805555556</v>
      </c>
      <c r="G427" t="s">
        <v>187</v>
      </c>
      <c r="H427" t="s">
        <v>106</v>
      </c>
      <c r="I427" t="s">
        <v>751</v>
      </c>
      <c r="J427">
        <v>11</v>
      </c>
      <c r="K427" t="s">
        <v>68</v>
      </c>
      <c r="L427" t="s">
        <v>22</v>
      </c>
      <c r="M427" t="s">
        <v>57</v>
      </c>
      <c r="N427" t="s">
        <v>43</v>
      </c>
      <c r="O427" t="s">
        <v>44</v>
      </c>
    </row>
    <row r="428" spans="1:15" x14ac:dyDescent="0.35">
      <c r="A428">
        <v>2090526</v>
      </c>
      <c r="B428" t="s">
        <v>15</v>
      </c>
      <c r="C428" t="s">
        <v>78</v>
      </c>
      <c r="D428">
        <v>52</v>
      </c>
      <c r="E428" t="s">
        <v>75</v>
      </c>
      <c r="F428" s="1">
        <v>42397.847916666666</v>
      </c>
      <c r="G428" t="s">
        <v>752</v>
      </c>
      <c r="H428" t="s">
        <v>106</v>
      </c>
      <c r="I428" t="s">
        <v>753</v>
      </c>
      <c r="J428">
        <v>20</v>
      </c>
      <c r="K428" t="s">
        <v>63</v>
      </c>
      <c r="L428" t="s">
        <v>22</v>
      </c>
      <c r="M428" t="s">
        <v>23</v>
      </c>
      <c r="N428" t="s">
        <v>43</v>
      </c>
      <c r="O428" t="s">
        <v>25</v>
      </c>
    </row>
    <row r="429" spans="1:15" x14ac:dyDescent="0.35">
      <c r="A429">
        <v>2090526</v>
      </c>
      <c r="B429" t="s">
        <v>15</v>
      </c>
      <c r="C429" t="s">
        <v>78</v>
      </c>
      <c r="D429">
        <v>52</v>
      </c>
      <c r="E429" t="s">
        <v>75</v>
      </c>
      <c r="F429" s="1">
        <v>42386.322222222225</v>
      </c>
      <c r="G429" t="s">
        <v>493</v>
      </c>
      <c r="H429" t="s">
        <v>106</v>
      </c>
      <c r="I429" t="s">
        <v>754</v>
      </c>
      <c r="J429">
        <v>7</v>
      </c>
      <c r="K429" t="s">
        <v>56</v>
      </c>
      <c r="L429" t="s">
        <v>22</v>
      </c>
      <c r="M429" t="s">
        <v>57</v>
      </c>
      <c r="N429" t="s">
        <v>43</v>
      </c>
      <c r="O429" t="s">
        <v>33</v>
      </c>
    </row>
    <row r="430" spans="1:15" x14ac:dyDescent="0.35">
      <c r="A430">
        <v>2090526</v>
      </c>
      <c r="B430" t="s">
        <v>15</v>
      </c>
      <c r="C430" t="s">
        <v>78</v>
      </c>
      <c r="D430">
        <v>52</v>
      </c>
      <c r="E430" t="s">
        <v>75</v>
      </c>
      <c r="F430" s="1">
        <v>42436.429166666669</v>
      </c>
      <c r="G430" t="s">
        <v>85</v>
      </c>
      <c r="H430" t="s">
        <v>51</v>
      </c>
      <c r="I430" t="s">
        <v>755</v>
      </c>
      <c r="J430">
        <v>10</v>
      </c>
      <c r="K430" t="s">
        <v>21</v>
      </c>
      <c r="L430" t="s">
        <v>31</v>
      </c>
      <c r="M430" t="s">
        <v>23</v>
      </c>
      <c r="N430" t="s">
        <v>43</v>
      </c>
      <c r="O430" t="s">
        <v>33</v>
      </c>
    </row>
    <row r="431" spans="1:15" x14ac:dyDescent="0.35">
      <c r="A431">
        <v>939659</v>
      </c>
      <c r="B431" t="s">
        <v>15</v>
      </c>
      <c r="C431" t="s">
        <v>78</v>
      </c>
      <c r="D431">
        <v>21</v>
      </c>
      <c r="E431" t="s">
        <v>134</v>
      </c>
      <c r="F431" s="1">
        <v>42448.79791666667</v>
      </c>
      <c r="G431" t="s">
        <v>756</v>
      </c>
      <c r="H431" t="s">
        <v>106</v>
      </c>
      <c r="I431" t="s">
        <v>757</v>
      </c>
      <c r="J431">
        <v>19</v>
      </c>
      <c r="K431" t="s">
        <v>68</v>
      </c>
      <c r="L431" t="s">
        <v>31</v>
      </c>
      <c r="M431" t="s">
        <v>57</v>
      </c>
      <c r="N431" t="s">
        <v>69</v>
      </c>
      <c r="O431" t="s">
        <v>25</v>
      </c>
    </row>
    <row r="432" spans="1:15" x14ac:dyDescent="0.35">
      <c r="A432">
        <v>939659</v>
      </c>
      <c r="B432" t="s">
        <v>15</v>
      </c>
      <c r="C432" t="s">
        <v>78</v>
      </c>
      <c r="D432">
        <v>21</v>
      </c>
      <c r="E432" t="s">
        <v>134</v>
      </c>
      <c r="F432" s="1">
        <v>42448.799305555556</v>
      </c>
      <c r="G432" t="s">
        <v>405</v>
      </c>
      <c r="H432" t="s">
        <v>86</v>
      </c>
      <c r="I432" t="s">
        <v>758</v>
      </c>
      <c r="J432">
        <v>19</v>
      </c>
      <c r="K432" t="s">
        <v>68</v>
      </c>
      <c r="L432" t="s">
        <v>31</v>
      </c>
      <c r="M432" t="s">
        <v>57</v>
      </c>
      <c r="N432" t="s">
        <v>69</v>
      </c>
      <c r="O432" t="s">
        <v>25</v>
      </c>
    </row>
    <row r="433" spans="1:15" x14ac:dyDescent="0.35">
      <c r="A433">
        <v>939659</v>
      </c>
      <c r="B433" t="s">
        <v>15</v>
      </c>
      <c r="C433" t="s">
        <v>78</v>
      </c>
      <c r="D433">
        <v>21</v>
      </c>
      <c r="E433" t="s">
        <v>134</v>
      </c>
      <c r="F433" s="1">
        <v>42460.743750000001</v>
      </c>
      <c r="G433" t="s">
        <v>759</v>
      </c>
      <c r="H433" t="s">
        <v>19</v>
      </c>
      <c r="I433" t="s">
        <v>760</v>
      </c>
      <c r="J433">
        <v>17</v>
      </c>
      <c r="K433" t="s">
        <v>63</v>
      </c>
      <c r="L433" t="s">
        <v>31</v>
      </c>
      <c r="M433" t="s">
        <v>23</v>
      </c>
      <c r="N433" t="s">
        <v>69</v>
      </c>
      <c r="O433" t="s">
        <v>25</v>
      </c>
    </row>
    <row r="434" spans="1:15" x14ac:dyDescent="0.35">
      <c r="A434">
        <v>939659</v>
      </c>
      <c r="B434" t="s">
        <v>15</v>
      </c>
      <c r="C434" t="s">
        <v>78</v>
      </c>
      <c r="D434">
        <v>21</v>
      </c>
      <c r="E434" t="s">
        <v>134</v>
      </c>
      <c r="F434" s="1">
        <v>42449.57708333333</v>
      </c>
      <c r="G434" t="s">
        <v>761</v>
      </c>
      <c r="H434" t="s">
        <v>19</v>
      </c>
      <c r="I434" t="s">
        <v>762</v>
      </c>
      <c r="J434">
        <v>13</v>
      </c>
      <c r="K434" t="s">
        <v>56</v>
      </c>
      <c r="L434" t="s">
        <v>31</v>
      </c>
      <c r="M434" t="s">
        <v>57</v>
      </c>
      <c r="N434" t="s">
        <v>69</v>
      </c>
      <c r="O434" t="s">
        <v>44</v>
      </c>
    </row>
    <row r="435" spans="1:15" x14ac:dyDescent="0.35">
      <c r="A435">
        <v>939659</v>
      </c>
      <c r="B435" t="s">
        <v>15</v>
      </c>
      <c r="C435" t="s">
        <v>78</v>
      </c>
      <c r="D435">
        <v>21</v>
      </c>
      <c r="E435" t="s">
        <v>134</v>
      </c>
      <c r="F435" s="1">
        <v>42449.724305555559</v>
      </c>
      <c r="G435" t="s">
        <v>513</v>
      </c>
      <c r="H435" t="s">
        <v>66</v>
      </c>
      <c r="I435" t="s">
        <v>763</v>
      </c>
      <c r="J435">
        <v>17</v>
      </c>
      <c r="K435" t="s">
        <v>56</v>
      </c>
      <c r="L435" t="s">
        <v>31</v>
      </c>
      <c r="M435" t="s">
        <v>57</v>
      </c>
      <c r="N435" t="s">
        <v>69</v>
      </c>
      <c r="O435" t="s">
        <v>25</v>
      </c>
    </row>
    <row r="436" spans="1:15" x14ac:dyDescent="0.35">
      <c r="A436">
        <v>939659</v>
      </c>
      <c r="B436" t="s">
        <v>15</v>
      </c>
      <c r="C436" t="s">
        <v>78</v>
      </c>
      <c r="D436">
        <v>21</v>
      </c>
      <c r="E436" t="s">
        <v>134</v>
      </c>
      <c r="F436" s="1">
        <v>42457.679861111108</v>
      </c>
      <c r="G436" t="s">
        <v>389</v>
      </c>
      <c r="H436" t="s">
        <v>106</v>
      </c>
      <c r="I436" t="s">
        <v>764</v>
      </c>
      <c r="J436">
        <v>16</v>
      </c>
      <c r="K436" t="s">
        <v>21</v>
      </c>
      <c r="L436" t="s">
        <v>31</v>
      </c>
      <c r="M436" t="s">
        <v>23</v>
      </c>
      <c r="N436" t="s">
        <v>69</v>
      </c>
      <c r="O436" t="s">
        <v>44</v>
      </c>
    </row>
    <row r="437" spans="1:15" x14ac:dyDescent="0.35">
      <c r="A437">
        <v>939659</v>
      </c>
      <c r="B437" t="s">
        <v>15</v>
      </c>
      <c r="C437" t="s">
        <v>78</v>
      </c>
      <c r="D437">
        <v>21</v>
      </c>
      <c r="E437" t="s">
        <v>134</v>
      </c>
      <c r="F437" s="1">
        <v>42457.447916666664</v>
      </c>
      <c r="G437" t="s">
        <v>76</v>
      </c>
      <c r="H437" t="s">
        <v>28</v>
      </c>
      <c r="I437" t="s">
        <v>765</v>
      </c>
      <c r="J437">
        <v>10</v>
      </c>
      <c r="K437" t="s">
        <v>21</v>
      </c>
      <c r="L437" t="s">
        <v>31</v>
      </c>
      <c r="M437" t="s">
        <v>23</v>
      </c>
      <c r="N437" t="s">
        <v>69</v>
      </c>
      <c r="O437" t="s">
        <v>33</v>
      </c>
    </row>
    <row r="438" spans="1:15" x14ac:dyDescent="0.35">
      <c r="A438">
        <v>939659</v>
      </c>
      <c r="B438" t="s">
        <v>15</v>
      </c>
      <c r="C438" t="s">
        <v>78</v>
      </c>
      <c r="D438">
        <v>21</v>
      </c>
      <c r="E438" t="s">
        <v>134</v>
      </c>
      <c r="F438" s="1">
        <v>42459.479166666664</v>
      </c>
      <c r="G438" t="s">
        <v>527</v>
      </c>
      <c r="H438" t="s">
        <v>71</v>
      </c>
      <c r="I438" t="s">
        <v>766</v>
      </c>
      <c r="J438">
        <v>11</v>
      </c>
      <c r="K438" t="s">
        <v>30</v>
      </c>
      <c r="L438" t="s">
        <v>31</v>
      </c>
      <c r="M438" t="s">
        <v>23</v>
      </c>
      <c r="N438" t="s">
        <v>69</v>
      </c>
      <c r="O438" t="s">
        <v>44</v>
      </c>
    </row>
    <row r="439" spans="1:15" x14ac:dyDescent="0.35">
      <c r="A439">
        <v>939659</v>
      </c>
      <c r="B439" t="s">
        <v>15</v>
      </c>
      <c r="C439" t="s">
        <v>78</v>
      </c>
      <c r="D439">
        <v>21</v>
      </c>
      <c r="E439" t="s">
        <v>134</v>
      </c>
      <c r="F439" s="1">
        <v>42453.289583333331</v>
      </c>
      <c r="G439" t="s">
        <v>363</v>
      </c>
      <c r="H439" t="s">
        <v>54</v>
      </c>
      <c r="I439" t="s">
        <v>767</v>
      </c>
      <c r="J439">
        <v>6</v>
      </c>
      <c r="K439" t="s">
        <v>63</v>
      </c>
      <c r="L439" t="s">
        <v>31</v>
      </c>
      <c r="M439" t="s">
        <v>23</v>
      </c>
      <c r="N439" t="s">
        <v>69</v>
      </c>
      <c r="O439" t="s">
        <v>33</v>
      </c>
    </row>
    <row r="440" spans="1:15" x14ac:dyDescent="0.35">
      <c r="A440">
        <v>939659</v>
      </c>
      <c r="B440" t="s">
        <v>15</v>
      </c>
      <c r="C440" t="s">
        <v>78</v>
      </c>
      <c r="D440">
        <v>21</v>
      </c>
      <c r="E440" t="s">
        <v>134</v>
      </c>
      <c r="F440" s="1">
        <v>42450.3125</v>
      </c>
      <c r="G440" t="s">
        <v>768</v>
      </c>
      <c r="H440" t="s">
        <v>54</v>
      </c>
      <c r="I440" t="s">
        <v>769</v>
      </c>
      <c r="J440">
        <v>7</v>
      </c>
      <c r="K440" t="s">
        <v>21</v>
      </c>
      <c r="L440" t="s">
        <v>31</v>
      </c>
      <c r="M440" t="s">
        <v>23</v>
      </c>
      <c r="N440" t="s">
        <v>69</v>
      </c>
      <c r="O440" t="s">
        <v>33</v>
      </c>
    </row>
    <row r="441" spans="1:15" x14ac:dyDescent="0.35">
      <c r="A441">
        <v>778615</v>
      </c>
      <c r="B441" t="s">
        <v>26</v>
      </c>
      <c r="C441" t="s">
        <v>26</v>
      </c>
      <c r="D441">
        <v>0</v>
      </c>
      <c r="E441" t="s">
        <v>26</v>
      </c>
      <c r="F441" s="1">
        <v>42441.65625</v>
      </c>
      <c r="G441" t="s">
        <v>534</v>
      </c>
      <c r="H441" t="s">
        <v>54</v>
      </c>
      <c r="I441" t="s">
        <v>770</v>
      </c>
      <c r="J441">
        <v>15</v>
      </c>
      <c r="K441" t="s">
        <v>68</v>
      </c>
      <c r="L441" t="s">
        <v>31</v>
      </c>
      <c r="M441" t="s">
        <v>57</v>
      </c>
      <c r="N441" t="s">
        <v>32</v>
      </c>
      <c r="O441" t="s">
        <v>44</v>
      </c>
    </row>
    <row r="442" spans="1:15" x14ac:dyDescent="0.35">
      <c r="A442">
        <v>866205</v>
      </c>
      <c r="B442" t="s">
        <v>15</v>
      </c>
      <c r="C442" t="s">
        <v>34</v>
      </c>
      <c r="D442">
        <v>36</v>
      </c>
      <c r="E442" t="s">
        <v>35</v>
      </c>
      <c r="F442" s="1">
        <v>42443.367361111108</v>
      </c>
      <c r="G442" t="s">
        <v>771</v>
      </c>
      <c r="H442" t="s">
        <v>71</v>
      </c>
      <c r="I442" t="s">
        <v>772</v>
      </c>
      <c r="J442">
        <v>8</v>
      </c>
      <c r="K442" t="s">
        <v>21</v>
      </c>
      <c r="L442" t="s">
        <v>31</v>
      </c>
      <c r="M442" t="s">
        <v>23</v>
      </c>
      <c r="N442" t="s">
        <v>24</v>
      </c>
      <c r="O442" t="s">
        <v>33</v>
      </c>
    </row>
    <row r="443" spans="1:15" x14ac:dyDescent="0.35">
      <c r="A443">
        <v>866205</v>
      </c>
      <c r="B443" t="s">
        <v>15</v>
      </c>
      <c r="C443" t="s">
        <v>34</v>
      </c>
      <c r="D443">
        <v>36</v>
      </c>
      <c r="E443" t="s">
        <v>35</v>
      </c>
      <c r="F443" s="1">
        <v>42444.409722222219</v>
      </c>
      <c r="G443" t="s">
        <v>773</v>
      </c>
      <c r="H443" t="s">
        <v>28</v>
      </c>
      <c r="I443" t="s">
        <v>774</v>
      </c>
      <c r="J443">
        <v>9</v>
      </c>
      <c r="K443" t="s">
        <v>49</v>
      </c>
      <c r="L443" t="s">
        <v>31</v>
      </c>
      <c r="M443" t="s">
        <v>23</v>
      </c>
      <c r="N443" t="s">
        <v>24</v>
      </c>
      <c r="O443" t="s">
        <v>33</v>
      </c>
    </row>
    <row r="444" spans="1:15" x14ac:dyDescent="0.35">
      <c r="A444">
        <v>866205</v>
      </c>
      <c r="B444" t="s">
        <v>15</v>
      </c>
      <c r="C444" t="s">
        <v>34</v>
      </c>
      <c r="D444">
        <v>36</v>
      </c>
      <c r="E444" t="s">
        <v>35</v>
      </c>
      <c r="F444" s="1">
        <v>42441.670138888891</v>
      </c>
      <c r="G444" t="s">
        <v>775</v>
      </c>
      <c r="H444" t="s">
        <v>28</v>
      </c>
      <c r="I444" t="s">
        <v>776</v>
      </c>
      <c r="J444">
        <v>16</v>
      </c>
      <c r="K444" t="s">
        <v>68</v>
      </c>
      <c r="L444" t="s">
        <v>31</v>
      </c>
      <c r="M444" t="s">
        <v>57</v>
      </c>
      <c r="N444" t="s">
        <v>24</v>
      </c>
      <c r="O444" t="s">
        <v>44</v>
      </c>
    </row>
    <row r="445" spans="1:15" x14ac:dyDescent="0.35">
      <c r="A445">
        <v>771867</v>
      </c>
      <c r="B445" t="s">
        <v>15</v>
      </c>
      <c r="C445" t="s">
        <v>78</v>
      </c>
      <c r="D445">
        <v>14</v>
      </c>
      <c r="E445" t="s">
        <v>35</v>
      </c>
      <c r="F445" s="1">
        <v>42405.236111111109</v>
      </c>
      <c r="G445" t="s">
        <v>777</v>
      </c>
      <c r="H445" t="s">
        <v>116</v>
      </c>
      <c r="I445" t="s">
        <v>778</v>
      </c>
      <c r="J445">
        <v>5</v>
      </c>
      <c r="K445" t="s">
        <v>42</v>
      </c>
      <c r="L445" t="s">
        <v>50</v>
      </c>
      <c r="M445" t="s">
        <v>23</v>
      </c>
      <c r="N445" t="s">
        <v>32</v>
      </c>
      <c r="O445" t="s">
        <v>33</v>
      </c>
    </row>
    <row r="446" spans="1:15" x14ac:dyDescent="0.35">
      <c r="A446">
        <v>771867</v>
      </c>
      <c r="B446" t="s">
        <v>15</v>
      </c>
      <c r="C446" t="s">
        <v>78</v>
      </c>
      <c r="D446">
        <v>14</v>
      </c>
      <c r="E446" t="s">
        <v>35</v>
      </c>
      <c r="F446" s="1">
        <v>42430.919444444444</v>
      </c>
      <c r="G446" t="s">
        <v>779</v>
      </c>
      <c r="H446" t="s">
        <v>19</v>
      </c>
      <c r="I446" t="s">
        <v>780</v>
      </c>
      <c r="J446">
        <v>22</v>
      </c>
      <c r="K446" t="s">
        <v>49</v>
      </c>
      <c r="L446" t="s">
        <v>31</v>
      </c>
      <c r="M446" t="s">
        <v>23</v>
      </c>
      <c r="N446" t="s">
        <v>32</v>
      </c>
      <c r="O446" t="s">
        <v>104</v>
      </c>
    </row>
    <row r="447" spans="1:15" x14ac:dyDescent="0.35">
      <c r="A447">
        <v>771867</v>
      </c>
      <c r="B447" t="s">
        <v>15</v>
      </c>
      <c r="C447" t="s">
        <v>78</v>
      </c>
      <c r="D447">
        <v>14</v>
      </c>
      <c r="E447" t="s">
        <v>35</v>
      </c>
      <c r="F447" s="1">
        <v>42442.297222222223</v>
      </c>
      <c r="G447" t="s">
        <v>781</v>
      </c>
      <c r="H447" t="s">
        <v>225</v>
      </c>
      <c r="I447" t="s">
        <v>782</v>
      </c>
      <c r="J447">
        <v>7</v>
      </c>
      <c r="K447" t="s">
        <v>56</v>
      </c>
      <c r="L447" t="s">
        <v>31</v>
      </c>
      <c r="M447" t="s">
        <v>57</v>
      </c>
      <c r="N447" t="s">
        <v>32</v>
      </c>
      <c r="O447" t="s">
        <v>33</v>
      </c>
    </row>
    <row r="448" spans="1:15" x14ac:dyDescent="0.35">
      <c r="A448">
        <v>771867</v>
      </c>
      <c r="B448" t="s">
        <v>15</v>
      </c>
      <c r="C448" t="s">
        <v>78</v>
      </c>
      <c r="D448">
        <v>14</v>
      </c>
      <c r="E448" t="s">
        <v>35</v>
      </c>
      <c r="F448" s="1">
        <v>42442.878472222219</v>
      </c>
      <c r="G448" t="s">
        <v>76</v>
      </c>
      <c r="H448" t="s">
        <v>71</v>
      </c>
      <c r="I448" t="s">
        <v>783</v>
      </c>
      <c r="J448">
        <v>21</v>
      </c>
      <c r="K448" t="s">
        <v>56</v>
      </c>
      <c r="L448" t="s">
        <v>31</v>
      </c>
      <c r="M448" t="s">
        <v>57</v>
      </c>
      <c r="N448" t="s">
        <v>32</v>
      </c>
      <c r="O448" t="s">
        <v>25</v>
      </c>
    </row>
    <row r="449" spans="1:15" x14ac:dyDescent="0.35">
      <c r="A449">
        <v>771867</v>
      </c>
      <c r="B449" t="s">
        <v>15</v>
      </c>
      <c r="C449" t="s">
        <v>78</v>
      </c>
      <c r="D449">
        <v>14</v>
      </c>
      <c r="E449" t="s">
        <v>35</v>
      </c>
      <c r="F449" s="1">
        <v>42400.695833333331</v>
      </c>
      <c r="G449" t="s">
        <v>493</v>
      </c>
      <c r="H449" t="s">
        <v>86</v>
      </c>
      <c r="I449" t="s">
        <v>784</v>
      </c>
      <c r="J449">
        <v>16</v>
      </c>
      <c r="K449" t="s">
        <v>56</v>
      </c>
      <c r="L449" t="s">
        <v>22</v>
      </c>
      <c r="M449" t="s">
        <v>57</v>
      </c>
      <c r="N449" t="s">
        <v>32</v>
      </c>
      <c r="O449" t="s">
        <v>44</v>
      </c>
    </row>
    <row r="450" spans="1:15" x14ac:dyDescent="0.35">
      <c r="A450">
        <v>771867</v>
      </c>
      <c r="B450" t="s">
        <v>15</v>
      </c>
      <c r="C450" t="s">
        <v>78</v>
      </c>
      <c r="D450">
        <v>14</v>
      </c>
      <c r="E450" t="s">
        <v>35</v>
      </c>
      <c r="F450" s="1">
        <v>42386.705555555556</v>
      </c>
      <c r="G450" t="s">
        <v>36</v>
      </c>
      <c r="H450" t="s">
        <v>116</v>
      </c>
      <c r="I450" t="s">
        <v>785</v>
      </c>
      <c r="J450">
        <v>16</v>
      </c>
      <c r="K450" t="s">
        <v>56</v>
      </c>
      <c r="L450" t="s">
        <v>22</v>
      </c>
      <c r="M450" t="s">
        <v>57</v>
      </c>
      <c r="N450" t="s">
        <v>32</v>
      </c>
      <c r="O450" t="s">
        <v>44</v>
      </c>
    </row>
    <row r="451" spans="1:15" x14ac:dyDescent="0.35">
      <c r="A451">
        <v>771867</v>
      </c>
      <c r="B451" t="s">
        <v>15</v>
      </c>
      <c r="C451" t="s">
        <v>78</v>
      </c>
      <c r="D451">
        <v>14</v>
      </c>
      <c r="E451" t="s">
        <v>35</v>
      </c>
      <c r="F451" s="1">
        <v>42391.593055555553</v>
      </c>
      <c r="G451" t="s">
        <v>786</v>
      </c>
      <c r="H451" t="s">
        <v>71</v>
      </c>
      <c r="I451" t="s">
        <v>787</v>
      </c>
      <c r="J451">
        <v>14</v>
      </c>
      <c r="K451" t="s">
        <v>42</v>
      </c>
      <c r="L451" t="s">
        <v>22</v>
      </c>
      <c r="M451" t="s">
        <v>23</v>
      </c>
      <c r="N451" t="s">
        <v>32</v>
      </c>
      <c r="O451" t="s">
        <v>44</v>
      </c>
    </row>
    <row r="452" spans="1:15" x14ac:dyDescent="0.35">
      <c r="A452">
        <v>771867</v>
      </c>
      <c r="B452" t="s">
        <v>15</v>
      </c>
      <c r="C452" t="s">
        <v>78</v>
      </c>
      <c r="D452">
        <v>14</v>
      </c>
      <c r="E452" t="s">
        <v>35</v>
      </c>
      <c r="F452" s="1">
        <v>42399.805555555555</v>
      </c>
      <c r="G452" t="s">
        <v>503</v>
      </c>
      <c r="H452" t="s">
        <v>106</v>
      </c>
      <c r="I452" t="s">
        <v>788</v>
      </c>
      <c r="J452">
        <v>19</v>
      </c>
      <c r="K452" t="s">
        <v>68</v>
      </c>
      <c r="L452" t="s">
        <v>22</v>
      </c>
      <c r="M452" t="s">
        <v>57</v>
      </c>
      <c r="N452" t="s">
        <v>32</v>
      </c>
      <c r="O452" t="s">
        <v>25</v>
      </c>
    </row>
    <row r="453" spans="1:15" x14ac:dyDescent="0.35">
      <c r="A453">
        <v>771867</v>
      </c>
      <c r="B453" t="s">
        <v>15</v>
      </c>
      <c r="C453" t="s">
        <v>78</v>
      </c>
      <c r="D453">
        <v>14</v>
      </c>
      <c r="E453" t="s">
        <v>35</v>
      </c>
      <c r="F453" s="1">
        <v>42387.675000000003</v>
      </c>
      <c r="G453" t="s">
        <v>789</v>
      </c>
      <c r="H453" t="s">
        <v>106</v>
      </c>
      <c r="I453" t="s">
        <v>790</v>
      </c>
      <c r="J453">
        <v>16</v>
      </c>
      <c r="K453" t="s">
        <v>21</v>
      </c>
      <c r="L453" t="s">
        <v>22</v>
      </c>
      <c r="M453" t="s">
        <v>23</v>
      </c>
      <c r="N453" t="s">
        <v>32</v>
      </c>
      <c r="O453" t="s">
        <v>44</v>
      </c>
    </row>
    <row r="454" spans="1:15" x14ac:dyDescent="0.35">
      <c r="A454">
        <v>771867</v>
      </c>
      <c r="B454" t="s">
        <v>15</v>
      </c>
      <c r="C454" t="s">
        <v>78</v>
      </c>
      <c r="D454">
        <v>14</v>
      </c>
      <c r="E454" t="s">
        <v>35</v>
      </c>
      <c r="F454" s="1">
        <v>42460.747916666667</v>
      </c>
      <c r="G454" t="s">
        <v>156</v>
      </c>
      <c r="H454" t="s">
        <v>106</v>
      </c>
      <c r="I454" t="s">
        <v>791</v>
      </c>
      <c r="J454">
        <v>17</v>
      </c>
      <c r="K454" t="s">
        <v>63</v>
      </c>
      <c r="L454" t="s">
        <v>31</v>
      </c>
      <c r="M454" t="s">
        <v>23</v>
      </c>
      <c r="N454" t="s">
        <v>32</v>
      </c>
      <c r="O454" t="s">
        <v>25</v>
      </c>
    </row>
    <row r="455" spans="1:15" x14ac:dyDescent="0.35">
      <c r="A455">
        <v>809337</v>
      </c>
      <c r="B455" t="s">
        <v>15</v>
      </c>
      <c r="C455" t="s">
        <v>16</v>
      </c>
      <c r="D455">
        <v>21</v>
      </c>
      <c r="E455" t="s">
        <v>35</v>
      </c>
      <c r="F455" s="1">
        <v>42413.013194444444</v>
      </c>
      <c r="G455" t="s">
        <v>407</v>
      </c>
      <c r="H455" t="s">
        <v>51</v>
      </c>
      <c r="I455" t="s">
        <v>792</v>
      </c>
      <c r="J455">
        <v>0</v>
      </c>
      <c r="K455" t="s">
        <v>68</v>
      </c>
      <c r="L455" t="s">
        <v>50</v>
      </c>
      <c r="M455" t="s">
        <v>57</v>
      </c>
      <c r="N455" t="s">
        <v>69</v>
      </c>
      <c r="O455" t="s">
        <v>58</v>
      </c>
    </row>
    <row r="456" spans="1:15" x14ac:dyDescent="0.35">
      <c r="A456">
        <v>779442</v>
      </c>
      <c r="B456" t="s">
        <v>38</v>
      </c>
      <c r="C456" t="s">
        <v>78</v>
      </c>
      <c r="D456">
        <v>31</v>
      </c>
      <c r="E456" t="s">
        <v>195</v>
      </c>
      <c r="F456" s="1">
        <v>42387.912499999999</v>
      </c>
      <c r="G456" t="s">
        <v>76</v>
      </c>
      <c r="H456" t="s">
        <v>251</v>
      </c>
      <c r="I456" t="s">
        <v>793</v>
      </c>
      <c r="J456">
        <v>21</v>
      </c>
      <c r="K456" t="s">
        <v>21</v>
      </c>
      <c r="L456" t="s">
        <v>22</v>
      </c>
      <c r="M456" t="s">
        <v>23</v>
      </c>
      <c r="N456" t="s">
        <v>24</v>
      </c>
      <c r="O456" t="s">
        <v>25</v>
      </c>
    </row>
    <row r="457" spans="1:15" x14ac:dyDescent="0.35">
      <c r="A457">
        <v>779442</v>
      </c>
      <c r="B457" t="s">
        <v>38</v>
      </c>
      <c r="C457" t="s">
        <v>78</v>
      </c>
      <c r="D457">
        <v>31</v>
      </c>
      <c r="E457" t="s">
        <v>195</v>
      </c>
      <c r="F457" s="1">
        <v>42387.919444444444</v>
      </c>
      <c r="G457" t="s">
        <v>36</v>
      </c>
      <c r="H457" t="s">
        <v>54</v>
      </c>
      <c r="I457" t="s">
        <v>794</v>
      </c>
      <c r="J457">
        <v>22</v>
      </c>
      <c r="K457" t="s">
        <v>21</v>
      </c>
      <c r="L457" t="s">
        <v>22</v>
      </c>
      <c r="M457" t="s">
        <v>23</v>
      </c>
      <c r="N457" t="s">
        <v>24</v>
      </c>
      <c r="O457" t="s">
        <v>104</v>
      </c>
    </row>
    <row r="458" spans="1:15" x14ac:dyDescent="0.35">
      <c r="A458">
        <v>779442</v>
      </c>
      <c r="B458" t="s">
        <v>38</v>
      </c>
      <c r="C458" t="s">
        <v>78</v>
      </c>
      <c r="D458">
        <v>31</v>
      </c>
      <c r="E458" t="s">
        <v>195</v>
      </c>
      <c r="F458" s="1">
        <v>42391.592361111114</v>
      </c>
      <c r="G458" t="s">
        <v>795</v>
      </c>
      <c r="H458" t="s">
        <v>54</v>
      </c>
      <c r="I458" t="s">
        <v>796</v>
      </c>
      <c r="J458">
        <v>14</v>
      </c>
      <c r="K458" t="s">
        <v>42</v>
      </c>
      <c r="L458" t="s">
        <v>22</v>
      </c>
      <c r="M458" t="s">
        <v>23</v>
      </c>
      <c r="N458" t="s">
        <v>24</v>
      </c>
      <c r="O458" t="s">
        <v>44</v>
      </c>
    </row>
    <row r="459" spans="1:15" x14ac:dyDescent="0.35">
      <c r="A459">
        <v>939662</v>
      </c>
      <c r="B459" t="s">
        <v>15</v>
      </c>
      <c r="C459" t="s">
        <v>78</v>
      </c>
      <c r="D459">
        <v>23</v>
      </c>
      <c r="E459" t="s">
        <v>75</v>
      </c>
      <c r="F459" s="1">
        <v>42459.533333333333</v>
      </c>
      <c r="G459" t="s">
        <v>797</v>
      </c>
      <c r="H459" t="s">
        <v>28</v>
      </c>
      <c r="I459" t="s">
        <v>798</v>
      </c>
      <c r="J459">
        <v>12</v>
      </c>
      <c r="K459" t="s">
        <v>30</v>
      </c>
      <c r="L459" t="s">
        <v>31</v>
      </c>
      <c r="M459" t="s">
        <v>23</v>
      </c>
      <c r="N459" t="s">
        <v>69</v>
      </c>
      <c r="O459" t="s">
        <v>44</v>
      </c>
    </row>
    <row r="460" spans="1:15" x14ac:dyDescent="0.35">
      <c r="A460">
        <v>2359724</v>
      </c>
      <c r="B460" t="s">
        <v>15</v>
      </c>
      <c r="C460" t="s">
        <v>16</v>
      </c>
      <c r="D460">
        <v>36</v>
      </c>
      <c r="E460" t="s">
        <v>17</v>
      </c>
      <c r="F460" s="1">
        <v>42421.381944444445</v>
      </c>
      <c r="G460" t="s">
        <v>484</v>
      </c>
      <c r="H460" t="s">
        <v>28</v>
      </c>
      <c r="I460" t="s">
        <v>799</v>
      </c>
      <c r="J460">
        <v>9</v>
      </c>
      <c r="K460" t="s">
        <v>56</v>
      </c>
      <c r="L460" t="s">
        <v>50</v>
      </c>
      <c r="M460" t="s">
        <v>57</v>
      </c>
      <c r="N460" t="s">
        <v>24</v>
      </c>
      <c r="O460" t="s">
        <v>33</v>
      </c>
    </row>
    <row r="461" spans="1:15" x14ac:dyDescent="0.35">
      <c r="A461">
        <v>2359724</v>
      </c>
      <c r="B461" t="s">
        <v>15</v>
      </c>
      <c r="C461" t="s">
        <v>16</v>
      </c>
      <c r="D461">
        <v>36</v>
      </c>
      <c r="E461" t="s">
        <v>17</v>
      </c>
      <c r="F461" s="1">
        <v>42426.495138888888</v>
      </c>
      <c r="G461" t="s">
        <v>76</v>
      </c>
      <c r="H461" t="s">
        <v>28</v>
      </c>
      <c r="I461" t="s">
        <v>800</v>
      </c>
      <c r="J461">
        <v>11</v>
      </c>
      <c r="K461" t="s">
        <v>42</v>
      </c>
      <c r="L461" t="s">
        <v>50</v>
      </c>
      <c r="M461" t="s">
        <v>23</v>
      </c>
      <c r="N461" t="s">
        <v>24</v>
      </c>
      <c r="O461" t="s">
        <v>44</v>
      </c>
    </row>
    <row r="462" spans="1:15" x14ac:dyDescent="0.35">
      <c r="A462">
        <v>2359724</v>
      </c>
      <c r="B462" t="s">
        <v>15</v>
      </c>
      <c r="C462" t="s">
        <v>16</v>
      </c>
      <c r="D462">
        <v>36</v>
      </c>
      <c r="E462" t="s">
        <v>17</v>
      </c>
      <c r="F462" s="1">
        <v>42426.584027777775</v>
      </c>
      <c r="G462" t="s">
        <v>525</v>
      </c>
      <c r="H462" t="s">
        <v>28</v>
      </c>
      <c r="I462" t="s">
        <v>801</v>
      </c>
      <c r="J462">
        <v>14</v>
      </c>
      <c r="K462" t="s">
        <v>42</v>
      </c>
      <c r="L462" t="s">
        <v>50</v>
      </c>
      <c r="M462" t="s">
        <v>23</v>
      </c>
      <c r="N462" t="s">
        <v>24</v>
      </c>
      <c r="O462" t="s">
        <v>44</v>
      </c>
    </row>
    <row r="463" spans="1:15" x14ac:dyDescent="0.35">
      <c r="A463">
        <v>2359724</v>
      </c>
      <c r="B463" t="s">
        <v>15</v>
      </c>
      <c r="C463" t="s">
        <v>16</v>
      </c>
      <c r="D463">
        <v>36</v>
      </c>
      <c r="E463" t="s">
        <v>17</v>
      </c>
      <c r="F463" s="1">
        <v>42453.70208333333</v>
      </c>
      <c r="G463" t="s">
        <v>802</v>
      </c>
      <c r="H463" t="s">
        <v>71</v>
      </c>
      <c r="I463" t="s">
        <v>803</v>
      </c>
      <c r="J463">
        <v>16</v>
      </c>
      <c r="K463" t="s">
        <v>63</v>
      </c>
      <c r="L463" t="s">
        <v>31</v>
      </c>
      <c r="M463" t="s">
        <v>23</v>
      </c>
      <c r="N463" t="s">
        <v>24</v>
      </c>
      <c r="O463" t="s">
        <v>44</v>
      </c>
    </row>
    <row r="464" spans="1:15" x14ac:dyDescent="0.35">
      <c r="A464">
        <v>2359724</v>
      </c>
      <c r="B464" t="s">
        <v>15</v>
      </c>
      <c r="C464" t="s">
        <v>16</v>
      </c>
      <c r="D464">
        <v>36</v>
      </c>
      <c r="E464" t="s">
        <v>17</v>
      </c>
      <c r="F464" s="1">
        <v>42448.503472222219</v>
      </c>
      <c r="G464" t="s">
        <v>804</v>
      </c>
      <c r="H464" t="s">
        <v>86</v>
      </c>
      <c r="I464" t="s">
        <v>805</v>
      </c>
      <c r="J464">
        <v>12</v>
      </c>
      <c r="K464" t="s">
        <v>68</v>
      </c>
      <c r="L464" t="s">
        <v>31</v>
      </c>
      <c r="M464" t="s">
        <v>57</v>
      </c>
      <c r="N464" t="s">
        <v>24</v>
      </c>
      <c r="O464" t="s">
        <v>44</v>
      </c>
    </row>
    <row r="465" spans="1:15" x14ac:dyDescent="0.35">
      <c r="A465">
        <v>2359724</v>
      </c>
      <c r="B465" t="s">
        <v>15</v>
      </c>
      <c r="C465" t="s">
        <v>16</v>
      </c>
      <c r="D465">
        <v>36</v>
      </c>
      <c r="E465" t="s">
        <v>17</v>
      </c>
      <c r="F465" s="1">
        <v>42428.433333333334</v>
      </c>
      <c r="G465" t="s">
        <v>686</v>
      </c>
      <c r="H465" t="s">
        <v>28</v>
      </c>
      <c r="I465" t="s">
        <v>806</v>
      </c>
      <c r="J465">
        <v>10</v>
      </c>
      <c r="K465" t="s">
        <v>56</v>
      </c>
      <c r="L465" t="s">
        <v>50</v>
      </c>
      <c r="M465" t="s">
        <v>57</v>
      </c>
      <c r="N465" t="s">
        <v>24</v>
      </c>
      <c r="O465" t="s">
        <v>33</v>
      </c>
    </row>
    <row r="466" spans="1:15" x14ac:dyDescent="0.35">
      <c r="A466">
        <v>2359724</v>
      </c>
      <c r="B466" t="s">
        <v>15</v>
      </c>
      <c r="C466" t="s">
        <v>16</v>
      </c>
      <c r="D466">
        <v>36</v>
      </c>
      <c r="E466" t="s">
        <v>17</v>
      </c>
      <c r="F466" s="1">
        <v>42430.686111111114</v>
      </c>
      <c r="G466" t="s">
        <v>65</v>
      </c>
      <c r="H466" t="s">
        <v>28</v>
      </c>
      <c r="I466" t="s">
        <v>807</v>
      </c>
      <c r="J466">
        <v>16</v>
      </c>
      <c r="K466" t="s">
        <v>49</v>
      </c>
      <c r="L466" t="s">
        <v>31</v>
      </c>
      <c r="M466" t="s">
        <v>23</v>
      </c>
      <c r="N466" t="s">
        <v>24</v>
      </c>
      <c r="O466" t="s">
        <v>44</v>
      </c>
    </row>
    <row r="467" spans="1:15" x14ac:dyDescent="0.35">
      <c r="A467">
        <v>2359724</v>
      </c>
      <c r="B467" t="s">
        <v>15</v>
      </c>
      <c r="C467" t="s">
        <v>16</v>
      </c>
      <c r="D467">
        <v>36</v>
      </c>
      <c r="E467" t="s">
        <v>17</v>
      </c>
      <c r="F467" s="1">
        <v>42413.745138888888</v>
      </c>
      <c r="G467" t="s">
        <v>808</v>
      </c>
      <c r="H467" t="s">
        <v>710</v>
      </c>
      <c r="I467" t="s">
        <v>809</v>
      </c>
      <c r="J467">
        <v>17</v>
      </c>
      <c r="K467" t="s">
        <v>68</v>
      </c>
      <c r="L467" t="s">
        <v>50</v>
      </c>
      <c r="M467" t="s">
        <v>57</v>
      </c>
      <c r="N467" t="s">
        <v>24</v>
      </c>
      <c r="O467" t="s">
        <v>25</v>
      </c>
    </row>
    <row r="468" spans="1:15" x14ac:dyDescent="0.35">
      <c r="A468">
        <v>2359724</v>
      </c>
      <c r="B468" t="s">
        <v>15</v>
      </c>
      <c r="C468" t="s">
        <v>16</v>
      </c>
      <c r="D468">
        <v>36</v>
      </c>
      <c r="E468" t="s">
        <v>17</v>
      </c>
      <c r="F468" s="1">
        <v>42413.74722222222</v>
      </c>
      <c r="G468" t="s">
        <v>127</v>
      </c>
      <c r="H468" t="s">
        <v>710</v>
      </c>
      <c r="I468" t="s">
        <v>810</v>
      </c>
      <c r="J468">
        <v>17</v>
      </c>
      <c r="K468" t="s">
        <v>68</v>
      </c>
      <c r="L468" t="s">
        <v>50</v>
      </c>
      <c r="M468" t="s">
        <v>57</v>
      </c>
      <c r="N468" t="s">
        <v>24</v>
      </c>
      <c r="O468" t="s">
        <v>25</v>
      </c>
    </row>
    <row r="469" spans="1:15" x14ac:dyDescent="0.35">
      <c r="A469">
        <v>904173</v>
      </c>
      <c r="B469" t="s">
        <v>38</v>
      </c>
      <c r="C469" t="s">
        <v>78</v>
      </c>
      <c r="D469">
        <v>29</v>
      </c>
      <c r="E469" t="s">
        <v>75</v>
      </c>
      <c r="F469" s="1">
        <v>42454.347222222219</v>
      </c>
      <c r="G469" t="s">
        <v>811</v>
      </c>
      <c r="H469" t="s">
        <v>71</v>
      </c>
      <c r="I469" t="s">
        <v>812</v>
      </c>
      <c r="J469">
        <v>8</v>
      </c>
      <c r="K469" t="s">
        <v>42</v>
      </c>
      <c r="L469" t="s">
        <v>31</v>
      </c>
      <c r="M469" t="s">
        <v>23</v>
      </c>
      <c r="N469" t="s">
        <v>24</v>
      </c>
      <c r="O469" t="s">
        <v>33</v>
      </c>
    </row>
    <row r="470" spans="1:15" x14ac:dyDescent="0.35">
      <c r="A470">
        <v>904174</v>
      </c>
      <c r="B470" t="s">
        <v>15</v>
      </c>
      <c r="C470" t="s">
        <v>34</v>
      </c>
      <c r="D470">
        <v>30</v>
      </c>
      <c r="E470" t="s">
        <v>134</v>
      </c>
      <c r="F470" s="1">
        <v>42455.526388888888</v>
      </c>
      <c r="G470" t="s">
        <v>76</v>
      </c>
      <c r="H470" t="s">
        <v>66</v>
      </c>
      <c r="I470" t="s">
        <v>813</v>
      </c>
      <c r="J470">
        <v>12</v>
      </c>
      <c r="K470" t="s">
        <v>68</v>
      </c>
      <c r="L470" t="s">
        <v>31</v>
      </c>
      <c r="M470" t="s">
        <v>57</v>
      </c>
      <c r="N470" t="s">
        <v>24</v>
      </c>
      <c r="O470" t="s">
        <v>44</v>
      </c>
    </row>
    <row r="471" spans="1:15" x14ac:dyDescent="0.35">
      <c r="A471">
        <v>904174</v>
      </c>
      <c r="B471" t="s">
        <v>15</v>
      </c>
      <c r="C471" t="s">
        <v>34</v>
      </c>
      <c r="D471">
        <v>30</v>
      </c>
      <c r="E471" t="s">
        <v>134</v>
      </c>
      <c r="F471" s="1">
        <v>42458.706944444442</v>
      </c>
      <c r="G471" t="s">
        <v>657</v>
      </c>
      <c r="H471" t="s">
        <v>28</v>
      </c>
      <c r="I471" t="s">
        <v>814</v>
      </c>
      <c r="J471">
        <v>16</v>
      </c>
      <c r="K471" t="s">
        <v>49</v>
      </c>
      <c r="L471" t="s">
        <v>31</v>
      </c>
      <c r="M471" t="s">
        <v>23</v>
      </c>
      <c r="N471" t="s">
        <v>24</v>
      </c>
      <c r="O471" t="s">
        <v>44</v>
      </c>
    </row>
    <row r="472" spans="1:15" x14ac:dyDescent="0.35">
      <c r="A472">
        <v>831766</v>
      </c>
      <c r="B472" t="s">
        <v>15</v>
      </c>
      <c r="C472" t="s">
        <v>78</v>
      </c>
      <c r="D472">
        <v>29</v>
      </c>
      <c r="E472" t="s">
        <v>35</v>
      </c>
      <c r="F472" s="1">
        <v>42432.656944444447</v>
      </c>
      <c r="G472" t="s">
        <v>815</v>
      </c>
      <c r="H472" t="s">
        <v>54</v>
      </c>
      <c r="I472" t="s">
        <v>816</v>
      </c>
      <c r="J472">
        <v>15</v>
      </c>
      <c r="K472" t="s">
        <v>63</v>
      </c>
      <c r="L472" t="s">
        <v>31</v>
      </c>
      <c r="M472" t="s">
        <v>23</v>
      </c>
      <c r="N472" t="s">
        <v>24</v>
      </c>
      <c r="O472" t="s">
        <v>44</v>
      </c>
    </row>
    <row r="473" spans="1:15" x14ac:dyDescent="0.35">
      <c r="A473">
        <v>831766</v>
      </c>
      <c r="B473" t="s">
        <v>15</v>
      </c>
      <c r="C473" t="s">
        <v>78</v>
      </c>
      <c r="D473">
        <v>29</v>
      </c>
      <c r="E473" t="s">
        <v>35</v>
      </c>
      <c r="F473" s="1">
        <v>42434.815972222219</v>
      </c>
      <c r="G473" t="s">
        <v>817</v>
      </c>
      <c r="H473" t="s">
        <v>106</v>
      </c>
      <c r="I473" t="s">
        <v>818</v>
      </c>
      <c r="J473">
        <v>19</v>
      </c>
      <c r="K473" t="s">
        <v>68</v>
      </c>
      <c r="L473" t="s">
        <v>31</v>
      </c>
      <c r="M473" t="s">
        <v>57</v>
      </c>
      <c r="N473" t="s">
        <v>24</v>
      </c>
      <c r="O473" t="s">
        <v>25</v>
      </c>
    </row>
    <row r="474" spans="1:15" x14ac:dyDescent="0.35">
      <c r="A474">
        <v>808997</v>
      </c>
      <c r="B474" t="s">
        <v>15</v>
      </c>
      <c r="C474" t="s">
        <v>78</v>
      </c>
      <c r="D474">
        <v>27</v>
      </c>
      <c r="E474" t="s">
        <v>134</v>
      </c>
      <c r="F474" s="1">
        <v>42419.445138888892</v>
      </c>
      <c r="G474" t="s">
        <v>759</v>
      </c>
      <c r="H474" t="s">
        <v>19</v>
      </c>
      <c r="I474" t="s">
        <v>819</v>
      </c>
      <c r="J474">
        <v>10</v>
      </c>
      <c r="K474" t="s">
        <v>42</v>
      </c>
      <c r="L474" t="s">
        <v>50</v>
      </c>
      <c r="M474" t="s">
        <v>23</v>
      </c>
      <c r="N474" t="s">
        <v>69</v>
      </c>
      <c r="O474" t="s">
        <v>33</v>
      </c>
    </row>
    <row r="475" spans="1:15" x14ac:dyDescent="0.35">
      <c r="A475">
        <v>808997</v>
      </c>
      <c r="B475" t="s">
        <v>15</v>
      </c>
      <c r="C475" t="s">
        <v>78</v>
      </c>
      <c r="D475">
        <v>27</v>
      </c>
      <c r="E475" t="s">
        <v>134</v>
      </c>
      <c r="F475" s="1">
        <v>42419.768750000003</v>
      </c>
      <c r="G475" t="s">
        <v>76</v>
      </c>
      <c r="H475" t="s">
        <v>54</v>
      </c>
      <c r="I475" t="s">
        <v>820</v>
      </c>
      <c r="J475">
        <v>18</v>
      </c>
      <c r="K475" t="s">
        <v>42</v>
      </c>
      <c r="L475" t="s">
        <v>50</v>
      </c>
      <c r="M475" t="s">
        <v>23</v>
      </c>
      <c r="N475" t="s">
        <v>69</v>
      </c>
      <c r="O475" t="s">
        <v>25</v>
      </c>
    </row>
    <row r="476" spans="1:15" x14ac:dyDescent="0.35">
      <c r="A476">
        <v>808997</v>
      </c>
      <c r="B476" t="s">
        <v>15</v>
      </c>
      <c r="C476" t="s">
        <v>78</v>
      </c>
      <c r="D476">
        <v>27</v>
      </c>
      <c r="E476" t="s">
        <v>134</v>
      </c>
      <c r="F476" s="1">
        <v>42451.189583333333</v>
      </c>
      <c r="G476" t="s">
        <v>821</v>
      </c>
      <c r="H476" t="s">
        <v>54</v>
      </c>
      <c r="I476" t="s">
        <v>822</v>
      </c>
      <c r="J476">
        <v>4</v>
      </c>
      <c r="K476" t="s">
        <v>49</v>
      </c>
      <c r="L476" t="s">
        <v>31</v>
      </c>
      <c r="M476" t="s">
        <v>23</v>
      </c>
      <c r="N476" t="s">
        <v>69</v>
      </c>
      <c r="O476" t="s">
        <v>58</v>
      </c>
    </row>
    <row r="477" spans="1:15" x14ac:dyDescent="0.35">
      <c r="A477">
        <v>808997</v>
      </c>
      <c r="B477" t="s">
        <v>15</v>
      </c>
      <c r="C477" t="s">
        <v>78</v>
      </c>
      <c r="D477">
        <v>27</v>
      </c>
      <c r="E477" t="s">
        <v>134</v>
      </c>
      <c r="F477" s="1">
        <v>42425.224999999999</v>
      </c>
      <c r="G477" t="s">
        <v>823</v>
      </c>
      <c r="H477" t="s">
        <v>54</v>
      </c>
      <c r="I477" t="s">
        <v>824</v>
      </c>
      <c r="J477">
        <v>5</v>
      </c>
      <c r="K477" t="s">
        <v>63</v>
      </c>
      <c r="L477" t="s">
        <v>50</v>
      </c>
      <c r="M477" t="s">
        <v>23</v>
      </c>
      <c r="N477" t="s">
        <v>69</v>
      </c>
      <c r="O477" t="s">
        <v>33</v>
      </c>
    </row>
    <row r="478" spans="1:15" x14ac:dyDescent="0.35">
      <c r="A478">
        <v>808997</v>
      </c>
      <c r="B478" t="s">
        <v>15</v>
      </c>
      <c r="C478" t="s">
        <v>78</v>
      </c>
      <c r="D478">
        <v>27</v>
      </c>
      <c r="E478" t="s">
        <v>134</v>
      </c>
      <c r="F478" s="1">
        <v>42396.258333333331</v>
      </c>
      <c r="G478" t="s">
        <v>90</v>
      </c>
      <c r="H478" t="s">
        <v>54</v>
      </c>
      <c r="I478" t="s">
        <v>825</v>
      </c>
      <c r="J478">
        <v>6</v>
      </c>
      <c r="K478" t="s">
        <v>30</v>
      </c>
      <c r="L478" t="s">
        <v>22</v>
      </c>
      <c r="M478" t="s">
        <v>23</v>
      </c>
      <c r="N478" t="s">
        <v>69</v>
      </c>
      <c r="O478" t="s">
        <v>33</v>
      </c>
    </row>
    <row r="479" spans="1:15" x14ac:dyDescent="0.35">
      <c r="A479">
        <v>808997</v>
      </c>
      <c r="B479" t="s">
        <v>15</v>
      </c>
      <c r="C479" t="s">
        <v>78</v>
      </c>
      <c r="D479">
        <v>27</v>
      </c>
      <c r="E479" t="s">
        <v>134</v>
      </c>
      <c r="F479" s="1">
        <v>42401.20416666667</v>
      </c>
      <c r="G479" t="s">
        <v>437</v>
      </c>
      <c r="H479" t="s">
        <v>54</v>
      </c>
      <c r="I479" t="s">
        <v>826</v>
      </c>
      <c r="J479">
        <v>4</v>
      </c>
      <c r="K479" t="s">
        <v>21</v>
      </c>
      <c r="L479" t="s">
        <v>50</v>
      </c>
      <c r="M479" t="s">
        <v>23</v>
      </c>
      <c r="N479" t="s">
        <v>69</v>
      </c>
      <c r="O479" t="s">
        <v>58</v>
      </c>
    </row>
    <row r="480" spans="1:15" x14ac:dyDescent="0.35">
      <c r="A480">
        <v>892532</v>
      </c>
      <c r="B480" t="s">
        <v>15</v>
      </c>
      <c r="C480" t="s">
        <v>39</v>
      </c>
      <c r="D480">
        <v>38</v>
      </c>
      <c r="E480" t="s">
        <v>35</v>
      </c>
      <c r="F480" s="1">
        <v>42449.86041666667</v>
      </c>
      <c r="G480" t="s">
        <v>244</v>
      </c>
      <c r="H480" t="s">
        <v>66</v>
      </c>
      <c r="I480" t="s">
        <v>827</v>
      </c>
      <c r="J480">
        <v>20</v>
      </c>
      <c r="K480" t="s">
        <v>56</v>
      </c>
      <c r="L480" t="s">
        <v>31</v>
      </c>
      <c r="M480" t="s">
        <v>57</v>
      </c>
      <c r="N480" t="s">
        <v>24</v>
      </c>
      <c r="O480" t="s">
        <v>25</v>
      </c>
    </row>
    <row r="481" spans="1:15" x14ac:dyDescent="0.35">
      <c r="A481">
        <v>816289</v>
      </c>
      <c r="B481" t="s">
        <v>38</v>
      </c>
      <c r="C481" t="s">
        <v>78</v>
      </c>
      <c r="D481">
        <v>25</v>
      </c>
      <c r="E481" t="s">
        <v>75</v>
      </c>
      <c r="F481" s="1">
        <v>42437.533333333333</v>
      </c>
      <c r="G481" t="s">
        <v>828</v>
      </c>
      <c r="H481" t="s">
        <v>54</v>
      </c>
      <c r="I481" t="s">
        <v>829</v>
      </c>
      <c r="J481">
        <v>12</v>
      </c>
      <c r="K481" t="s">
        <v>49</v>
      </c>
      <c r="L481" t="s">
        <v>31</v>
      </c>
      <c r="M481" t="s">
        <v>23</v>
      </c>
      <c r="N481" t="s">
        <v>69</v>
      </c>
      <c r="O481" t="s">
        <v>44</v>
      </c>
    </row>
    <row r="482" spans="1:15" x14ac:dyDescent="0.35">
      <c r="A482">
        <v>816289</v>
      </c>
      <c r="B482" t="s">
        <v>38</v>
      </c>
      <c r="C482" t="s">
        <v>78</v>
      </c>
      <c r="D482">
        <v>25</v>
      </c>
      <c r="E482" t="s">
        <v>75</v>
      </c>
      <c r="F482" s="1">
        <v>42438.229861111111</v>
      </c>
      <c r="G482" t="s">
        <v>76</v>
      </c>
      <c r="H482" t="s">
        <v>116</v>
      </c>
      <c r="I482" t="s">
        <v>830</v>
      </c>
      <c r="J482">
        <v>5</v>
      </c>
      <c r="K482" t="s">
        <v>30</v>
      </c>
      <c r="L482" t="s">
        <v>31</v>
      </c>
      <c r="M482" t="s">
        <v>23</v>
      </c>
      <c r="N482" t="s">
        <v>69</v>
      </c>
      <c r="O482" t="s">
        <v>33</v>
      </c>
    </row>
    <row r="483" spans="1:15" x14ac:dyDescent="0.35">
      <c r="A483">
        <v>868961</v>
      </c>
      <c r="B483" t="s">
        <v>15</v>
      </c>
      <c r="C483" t="s">
        <v>78</v>
      </c>
      <c r="D483">
        <v>35</v>
      </c>
      <c r="E483" t="s">
        <v>35</v>
      </c>
      <c r="F483" s="1">
        <v>42445.686111111114</v>
      </c>
      <c r="G483" t="s">
        <v>405</v>
      </c>
      <c r="H483" t="s">
        <v>71</v>
      </c>
      <c r="I483" t="s">
        <v>831</v>
      </c>
      <c r="J483">
        <v>16</v>
      </c>
      <c r="K483" t="s">
        <v>30</v>
      </c>
      <c r="L483" t="s">
        <v>31</v>
      </c>
      <c r="M483" t="s">
        <v>23</v>
      </c>
      <c r="N483" t="s">
        <v>24</v>
      </c>
      <c r="O483" t="s">
        <v>44</v>
      </c>
    </row>
    <row r="484" spans="1:15" x14ac:dyDescent="0.35">
      <c r="A484">
        <v>2285609</v>
      </c>
      <c r="B484" t="s">
        <v>15</v>
      </c>
      <c r="C484" t="s">
        <v>34</v>
      </c>
      <c r="D484">
        <v>28</v>
      </c>
      <c r="E484" t="s">
        <v>64</v>
      </c>
      <c r="F484" s="1">
        <v>42425.901388888888</v>
      </c>
      <c r="G484" t="s">
        <v>481</v>
      </c>
      <c r="H484" t="s">
        <v>66</v>
      </c>
      <c r="I484" t="s">
        <v>832</v>
      </c>
      <c r="J484">
        <v>21</v>
      </c>
      <c r="K484" t="s">
        <v>63</v>
      </c>
      <c r="L484" t="s">
        <v>50</v>
      </c>
      <c r="M484" t="s">
        <v>23</v>
      </c>
      <c r="N484" t="s">
        <v>69</v>
      </c>
      <c r="O484" t="s">
        <v>25</v>
      </c>
    </row>
    <row r="485" spans="1:15" x14ac:dyDescent="0.35">
      <c r="A485">
        <v>2285609</v>
      </c>
      <c r="B485" t="s">
        <v>15</v>
      </c>
      <c r="C485" t="s">
        <v>34</v>
      </c>
      <c r="D485">
        <v>28</v>
      </c>
      <c r="E485" t="s">
        <v>64</v>
      </c>
      <c r="F485" s="1">
        <v>42436.90625</v>
      </c>
      <c r="G485" t="s">
        <v>833</v>
      </c>
      <c r="H485" t="s">
        <v>19</v>
      </c>
      <c r="I485" t="s">
        <v>834</v>
      </c>
      <c r="J485">
        <v>21</v>
      </c>
      <c r="K485" t="s">
        <v>21</v>
      </c>
      <c r="L485" t="s">
        <v>31</v>
      </c>
      <c r="M485" t="s">
        <v>23</v>
      </c>
      <c r="N485" t="s">
        <v>69</v>
      </c>
      <c r="O485" t="s">
        <v>25</v>
      </c>
    </row>
    <row r="486" spans="1:15" x14ac:dyDescent="0.35">
      <c r="A486">
        <v>793649</v>
      </c>
      <c r="B486" t="s">
        <v>38</v>
      </c>
      <c r="C486" t="s">
        <v>129</v>
      </c>
      <c r="D486">
        <v>21</v>
      </c>
      <c r="E486" t="s">
        <v>134</v>
      </c>
      <c r="F486" s="1">
        <v>42459.311111111114</v>
      </c>
      <c r="G486" t="s">
        <v>835</v>
      </c>
      <c r="H486" t="s">
        <v>19</v>
      </c>
      <c r="I486" t="s">
        <v>836</v>
      </c>
      <c r="J486">
        <v>7</v>
      </c>
      <c r="K486" t="s">
        <v>30</v>
      </c>
      <c r="L486" t="s">
        <v>31</v>
      </c>
      <c r="M486" t="s">
        <v>23</v>
      </c>
      <c r="N486" t="s">
        <v>69</v>
      </c>
      <c r="O486" t="s">
        <v>33</v>
      </c>
    </row>
    <row r="487" spans="1:15" x14ac:dyDescent="0.35">
      <c r="A487">
        <v>793649</v>
      </c>
      <c r="B487" t="s">
        <v>38</v>
      </c>
      <c r="C487" t="s">
        <v>129</v>
      </c>
      <c r="D487">
        <v>21</v>
      </c>
      <c r="E487" t="s">
        <v>134</v>
      </c>
      <c r="F487" s="1">
        <v>42456.902083333334</v>
      </c>
      <c r="G487" t="s">
        <v>178</v>
      </c>
      <c r="H487" t="s">
        <v>669</v>
      </c>
      <c r="I487" t="s">
        <v>837</v>
      </c>
      <c r="J487">
        <v>21</v>
      </c>
      <c r="K487" t="s">
        <v>56</v>
      </c>
      <c r="L487" t="s">
        <v>31</v>
      </c>
      <c r="M487" t="s">
        <v>57</v>
      </c>
      <c r="N487" t="s">
        <v>69</v>
      </c>
      <c r="O487" t="s">
        <v>25</v>
      </c>
    </row>
    <row r="488" spans="1:15" x14ac:dyDescent="0.35">
      <c r="A488">
        <v>793649</v>
      </c>
      <c r="B488" t="s">
        <v>38</v>
      </c>
      <c r="C488" t="s">
        <v>129</v>
      </c>
      <c r="D488">
        <v>21</v>
      </c>
      <c r="E488" t="s">
        <v>134</v>
      </c>
      <c r="F488" s="1">
        <v>42458.662499999999</v>
      </c>
      <c r="G488" t="s">
        <v>838</v>
      </c>
      <c r="H488" t="s">
        <v>106</v>
      </c>
      <c r="I488" t="s">
        <v>839</v>
      </c>
      <c r="J488">
        <v>15</v>
      </c>
      <c r="K488" t="s">
        <v>49</v>
      </c>
      <c r="L488" t="s">
        <v>31</v>
      </c>
      <c r="M488" t="s">
        <v>23</v>
      </c>
      <c r="N488" t="s">
        <v>69</v>
      </c>
      <c r="O488" t="s">
        <v>44</v>
      </c>
    </row>
    <row r="489" spans="1:15" x14ac:dyDescent="0.35">
      <c r="A489">
        <v>771872</v>
      </c>
      <c r="B489" t="s">
        <v>15</v>
      </c>
      <c r="C489" t="s">
        <v>16</v>
      </c>
      <c r="D489">
        <v>25</v>
      </c>
      <c r="E489" t="s">
        <v>17</v>
      </c>
      <c r="F489" s="1">
        <v>42407.590277777781</v>
      </c>
      <c r="G489" t="s">
        <v>840</v>
      </c>
      <c r="H489" t="s">
        <v>66</v>
      </c>
      <c r="I489" t="s">
        <v>841</v>
      </c>
      <c r="J489">
        <v>14</v>
      </c>
      <c r="K489" t="s">
        <v>56</v>
      </c>
      <c r="L489" t="s">
        <v>50</v>
      </c>
      <c r="M489" t="s">
        <v>57</v>
      </c>
      <c r="N489" t="s">
        <v>69</v>
      </c>
      <c r="O489" t="s">
        <v>44</v>
      </c>
    </row>
    <row r="490" spans="1:15" x14ac:dyDescent="0.35">
      <c r="A490">
        <v>771872</v>
      </c>
      <c r="B490" t="s">
        <v>15</v>
      </c>
      <c r="C490" t="s">
        <v>16</v>
      </c>
      <c r="D490">
        <v>25</v>
      </c>
      <c r="E490" t="s">
        <v>17</v>
      </c>
      <c r="F490" s="1">
        <v>42400.597222222219</v>
      </c>
      <c r="G490" t="s">
        <v>842</v>
      </c>
      <c r="H490" t="s">
        <v>51</v>
      </c>
      <c r="I490" t="s">
        <v>843</v>
      </c>
      <c r="J490">
        <v>14</v>
      </c>
      <c r="K490" t="s">
        <v>56</v>
      </c>
      <c r="L490" t="s">
        <v>22</v>
      </c>
      <c r="M490" t="s">
        <v>57</v>
      </c>
      <c r="N490" t="s">
        <v>69</v>
      </c>
      <c r="O490" t="s">
        <v>44</v>
      </c>
    </row>
    <row r="491" spans="1:15" x14ac:dyDescent="0.35">
      <c r="A491">
        <v>771872</v>
      </c>
      <c r="B491" t="s">
        <v>15</v>
      </c>
      <c r="C491" t="s">
        <v>16</v>
      </c>
      <c r="D491">
        <v>25</v>
      </c>
      <c r="E491" t="s">
        <v>17</v>
      </c>
      <c r="F491" s="1">
        <v>42400.730555555558</v>
      </c>
      <c r="G491" t="s">
        <v>844</v>
      </c>
      <c r="H491" t="s">
        <v>51</v>
      </c>
      <c r="I491" t="s">
        <v>845</v>
      </c>
      <c r="J491">
        <v>17</v>
      </c>
      <c r="K491" t="s">
        <v>56</v>
      </c>
      <c r="L491" t="s">
        <v>22</v>
      </c>
      <c r="M491" t="s">
        <v>57</v>
      </c>
      <c r="N491" t="s">
        <v>69</v>
      </c>
      <c r="O491" t="s">
        <v>25</v>
      </c>
    </row>
    <row r="492" spans="1:15" x14ac:dyDescent="0.35">
      <c r="A492">
        <v>809000</v>
      </c>
      <c r="B492" t="s">
        <v>15</v>
      </c>
      <c r="C492" t="s">
        <v>78</v>
      </c>
      <c r="D492">
        <v>47</v>
      </c>
      <c r="E492" t="s">
        <v>35</v>
      </c>
      <c r="F492" s="1">
        <v>42419.304166666669</v>
      </c>
      <c r="G492" t="s">
        <v>474</v>
      </c>
      <c r="H492" t="s">
        <v>71</v>
      </c>
      <c r="I492" t="s">
        <v>846</v>
      </c>
      <c r="J492">
        <v>7</v>
      </c>
      <c r="K492" t="s">
        <v>42</v>
      </c>
      <c r="L492" t="s">
        <v>50</v>
      </c>
      <c r="M492" t="s">
        <v>23</v>
      </c>
      <c r="N492" t="s">
        <v>93</v>
      </c>
      <c r="O492" t="s">
        <v>33</v>
      </c>
    </row>
    <row r="493" spans="1:15" x14ac:dyDescent="0.35">
      <c r="A493">
        <v>809000</v>
      </c>
      <c r="B493" t="s">
        <v>15</v>
      </c>
      <c r="C493" t="s">
        <v>78</v>
      </c>
      <c r="D493">
        <v>47</v>
      </c>
      <c r="E493" t="s">
        <v>35</v>
      </c>
      <c r="F493" s="1">
        <v>42372.856944444444</v>
      </c>
      <c r="G493" t="s">
        <v>412</v>
      </c>
      <c r="H493" t="s">
        <v>179</v>
      </c>
      <c r="I493" t="s">
        <v>847</v>
      </c>
      <c r="J493">
        <v>20</v>
      </c>
      <c r="K493" t="s">
        <v>56</v>
      </c>
      <c r="L493" t="s">
        <v>22</v>
      </c>
      <c r="M493" t="s">
        <v>57</v>
      </c>
      <c r="N493" t="s">
        <v>93</v>
      </c>
      <c r="O493" t="s">
        <v>25</v>
      </c>
    </row>
    <row r="494" spans="1:15" x14ac:dyDescent="0.35">
      <c r="A494">
        <v>809000</v>
      </c>
      <c r="B494" t="s">
        <v>15</v>
      </c>
      <c r="C494" t="s">
        <v>78</v>
      </c>
      <c r="D494">
        <v>47</v>
      </c>
      <c r="E494" t="s">
        <v>35</v>
      </c>
      <c r="F494" s="1">
        <v>42374.212500000001</v>
      </c>
      <c r="G494" t="s">
        <v>145</v>
      </c>
      <c r="H494" t="s">
        <v>54</v>
      </c>
      <c r="I494" t="s">
        <v>848</v>
      </c>
      <c r="J494">
        <v>5</v>
      </c>
      <c r="K494" t="s">
        <v>49</v>
      </c>
      <c r="L494" t="s">
        <v>22</v>
      </c>
      <c r="M494" t="s">
        <v>23</v>
      </c>
      <c r="N494" t="s">
        <v>93</v>
      </c>
      <c r="O494" t="s">
        <v>33</v>
      </c>
    </row>
    <row r="495" spans="1:15" x14ac:dyDescent="0.35">
      <c r="A495">
        <v>809000</v>
      </c>
      <c r="B495" t="s">
        <v>15</v>
      </c>
      <c r="C495" t="s">
        <v>78</v>
      </c>
      <c r="D495">
        <v>47</v>
      </c>
      <c r="E495" t="s">
        <v>35</v>
      </c>
      <c r="F495" s="1">
        <v>42433.303472222222</v>
      </c>
      <c r="G495" t="s">
        <v>139</v>
      </c>
      <c r="H495" t="s">
        <v>116</v>
      </c>
      <c r="I495" t="s">
        <v>849</v>
      </c>
      <c r="J495">
        <v>7</v>
      </c>
      <c r="K495" t="s">
        <v>42</v>
      </c>
      <c r="L495" t="s">
        <v>31</v>
      </c>
      <c r="M495" t="s">
        <v>23</v>
      </c>
      <c r="N495" t="s">
        <v>93</v>
      </c>
      <c r="O495" t="s">
        <v>33</v>
      </c>
    </row>
    <row r="496" spans="1:15" x14ac:dyDescent="0.35">
      <c r="A496">
        <v>809000</v>
      </c>
      <c r="B496" t="s">
        <v>15</v>
      </c>
      <c r="C496" t="s">
        <v>78</v>
      </c>
      <c r="D496">
        <v>47</v>
      </c>
      <c r="E496" t="s">
        <v>35</v>
      </c>
      <c r="F496" s="1">
        <v>42441.847222222219</v>
      </c>
      <c r="G496" t="s">
        <v>745</v>
      </c>
      <c r="H496" t="s">
        <v>86</v>
      </c>
      <c r="I496" t="s">
        <v>850</v>
      </c>
      <c r="J496">
        <v>20</v>
      </c>
      <c r="K496" t="s">
        <v>68</v>
      </c>
      <c r="L496" t="s">
        <v>31</v>
      </c>
      <c r="M496" t="s">
        <v>57</v>
      </c>
      <c r="N496" t="s">
        <v>93</v>
      </c>
      <c r="O496" t="s">
        <v>25</v>
      </c>
    </row>
    <row r="497" spans="1:15" x14ac:dyDescent="0.35">
      <c r="A497">
        <v>809000</v>
      </c>
      <c r="B497" t="s">
        <v>15</v>
      </c>
      <c r="C497" t="s">
        <v>78</v>
      </c>
      <c r="D497">
        <v>47</v>
      </c>
      <c r="E497" t="s">
        <v>35</v>
      </c>
      <c r="F497" s="1">
        <v>42439.102777777778</v>
      </c>
      <c r="G497" t="s">
        <v>273</v>
      </c>
      <c r="H497" t="s">
        <v>106</v>
      </c>
      <c r="I497" t="s">
        <v>851</v>
      </c>
      <c r="J497">
        <v>2</v>
      </c>
      <c r="K497" t="s">
        <v>63</v>
      </c>
      <c r="L497" t="s">
        <v>31</v>
      </c>
      <c r="M497" t="s">
        <v>23</v>
      </c>
      <c r="N497" t="s">
        <v>93</v>
      </c>
      <c r="O497" t="s">
        <v>58</v>
      </c>
    </row>
    <row r="498" spans="1:15" x14ac:dyDescent="0.35">
      <c r="A498">
        <v>771876</v>
      </c>
      <c r="B498" t="s">
        <v>15</v>
      </c>
      <c r="C498" t="s">
        <v>78</v>
      </c>
      <c r="D498">
        <v>25</v>
      </c>
      <c r="E498" t="s">
        <v>335</v>
      </c>
      <c r="F498" s="1">
        <v>42400.477777777778</v>
      </c>
      <c r="G498" t="s">
        <v>495</v>
      </c>
      <c r="H498" t="s">
        <v>19</v>
      </c>
      <c r="I498" t="s">
        <v>852</v>
      </c>
      <c r="J498">
        <v>11</v>
      </c>
      <c r="K498" t="s">
        <v>56</v>
      </c>
      <c r="L498" t="s">
        <v>22</v>
      </c>
      <c r="M498" t="s">
        <v>57</v>
      </c>
      <c r="N498" t="s">
        <v>69</v>
      </c>
      <c r="O498" t="s">
        <v>44</v>
      </c>
    </row>
    <row r="499" spans="1:15" x14ac:dyDescent="0.35">
      <c r="A499">
        <v>771876</v>
      </c>
      <c r="B499" t="s">
        <v>15</v>
      </c>
      <c r="C499" t="s">
        <v>78</v>
      </c>
      <c r="D499">
        <v>25</v>
      </c>
      <c r="E499" t="s">
        <v>335</v>
      </c>
      <c r="F499" s="1">
        <v>42407.745833333334</v>
      </c>
      <c r="G499" t="s">
        <v>174</v>
      </c>
      <c r="H499" t="s">
        <v>51</v>
      </c>
      <c r="I499" t="s">
        <v>853</v>
      </c>
      <c r="J499">
        <v>17</v>
      </c>
      <c r="K499" t="s">
        <v>56</v>
      </c>
      <c r="L499" t="s">
        <v>50</v>
      </c>
      <c r="M499" t="s">
        <v>57</v>
      </c>
      <c r="N499" t="s">
        <v>69</v>
      </c>
      <c r="O499" t="s">
        <v>25</v>
      </c>
    </row>
    <row r="500" spans="1:15" x14ac:dyDescent="0.35">
      <c r="A500">
        <v>771876</v>
      </c>
      <c r="B500" t="s">
        <v>15</v>
      </c>
      <c r="C500" t="s">
        <v>78</v>
      </c>
      <c r="D500">
        <v>25</v>
      </c>
      <c r="E500" t="s">
        <v>335</v>
      </c>
      <c r="F500" s="1">
        <v>42398.525694444441</v>
      </c>
      <c r="G500" t="s">
        <v>76</v>
      </c>
      <c r="H500" t="s">
        <v>71</v>
      </c>
      <c r="I500" t="s">
        <v>854</v>
      </c>
      <c r="J500">
        <v>12</v>
      </c>
      <c r="K500" t="s">
        <v>42</v>
      </c>
      <c r="L500" t="s">
        <v>22</v>
      </c>
      <c r="M500" t="s">
        <v>23</v>
      </c>
      <c r="N500" t="s">
        <v>69</v>
      </c>
      <c r="O500" t="s">
        <v>44</v>
      </c>
    </row>
    <row r="501" spans="1:15" x14ac:dyDescent="0.35">
      <c r="A501">
        <v>771876</v>
      </c>
      <c r="B501" t="s">
        <v>15</v>
      </c>
      <c r="C501" t="s">
        <v>78</v>
      </c>
      <c r="D501">
        <v>25</v>
      </c>
      <c r="E501" t="s">
        <v>335</v>
      </c>
      <c r="F501" s="1">
        <v>42400.543749999997</v>
      </c>
      <c r="G501" t="s">
        <v>76</v>
      </c>
      <c r="H501" t="s">
        <v>51</v>
      </c>
      <c r="I501" t="s">
        <v>855</v>
      </c>
      <c r="J501">
        <v>13</v>
      </c>
      <c r="K501" t="s">
        <v>56</v>
      </c>
      <c r="L501" t="s">
        <v>22</v>
      </c>
      <c r="M501" t="s">
        <v>57</v>
      </c>
      <c r="N501" t="s">
        <v>69</v>
      </c>
      <c r="O501" t="s">
        <v>44</v>
      </c>
    </row>
    <row r="502" spans="1:15" x14ac:dyDescent="0.35">
      <c r="A502">
        <v>771876</v>
      </c>
      <c r="B502" t="s">
        <v>15</v>
      </c>
      <c r="C502" t="s">
        <v>78</v>
      </c>
      <c r="D502">
        <v>25</v>
      </c>
      <c r="E502" t="s">
        <v>335</v>
      </c>
      <c r="F502" s="1">
        <v>42406.259722222225</v>
      </c>
      <c r="G502" t="s">
        <v>856</v>
      </c>
      <c r="H502" t="s">
        <v>19</v>
      </c>
      <c r="I502" t="s">
        <v>857</v>
      </c>
      <c r="J502">
        <v>6</v>
      </c>
      <c r="K502" t="s">
        <v>68</v>
      </c>
      <c r="L502" t="s">
        <v>50</v>
      </c>
      <c r="M502" t="s">
        <v>57</v>
      </c>
      <c r="N502" t="s">
        <v>69</v>
      </c>
      <c r="O502" t="s">
        <v>33</v>
      </c>
    </row>
    <row r="503" spans="1:15" x14ac:dyDescent="0.35">
      <c r="A503">
        <v>771876</v>
      </c>
      <c r="B503" t="s">
        <v>15</v>
      </c>
      <c r="C503" t="s">
        <v>78</v>
      </c>
      <c r="D503">
        <v>25</v>
      </c>
      <c r="E503" t="s">
        <v>335</v>
      </c>
      <c r="F503" s="1">
        <v>42406.588888888888</v>
      </c>
      <c r="G503" t="s">
        <v>858</v>
      </c>
      <c r="H503" t="s">
        <v>66</v>
      </c>
      <c r="I503" t="s">
        <v>859</v>
      </c>
      <c r="J503">
        <v>14</v>
      </c>
      <c r="K503" t="s">
        <v>68</v>
      </c>
      <c r="L503" t="s">
        <v>50</v>
      </c>
      <c r="M503" t="s">
        <v>57</v>
      </c>
      <c r="N503" t="s">
        <v>69</v>
      </c>
      <c r="O503" t="s">
        <v>44</v>
      </c>
    </row>
    <row r="504" spans="1:15" x14ac:dyDescent="0.35">
      <c r="A504">
        <v>771877</v>
      </c>
      <c r="B504" t="s">
        <v>15</v>
      </c>
      <c r="C504" t="s">
        <v>78</v>
      </c>
      <c r="D504">
        <v>25</v>
      </c>
      <c r="E504" t="s">
        <v>860</v>
      </c>
      <c r="F504" s="1">
        <v>42398.821527777778</v>
      </c>
      <c r="G504" t="s">
        <v>861</v>
      </c>
      <c r="H504" t="s">
        <v>225</v>
      </c>
      <c r="I504" t="s">
        <v>862</v>
      </c>
      <c r="J504">
        <v>19</v>
      </c>
      <c r="K504" t="s">
        <v>42</v>
      </c>
      <c r="L504" t="s">
        <v>22</v>
      </c>
      <c r="M504" t="s">
        <v>23</v>
      </c>
      <c r="N504" t="s">
        <v>69</v>
      </c>
      <c r="O504" t="s">
        <v>25</v>
      </c>
    </row>
    <row r="505" spans="1:15" x14ac:dyDescent="0.35">
      <c r="A505">
        <v>771877</v>
      </c>
      <c r="B505" t="s">
        <v>15</v>
      </c>
      <c r="C505" t="s">
        <v>78</v>
      </c>
      <c r="D505">
        <v>25</v>
      </c>
      <c r="E505" t="s">
        <v>860</v>
      </c>
      <c r="F505" s="1">
        <v>42400.776388888888</v>
      </c>
      <c r="G505" t="s">
        <v>863</v>
      </c>
      <c r="H505" t="s">
        <v>47</v>
      </c>
      <c r="I505" t="s">
        <v>864</v>
      </c>
      <c r="J505">
        <v>18</v>
      </c>
      <c r="K505" t="s">
        <v>56</v>
      </c>
      <c r="L505" t="s">
        <v>22</v>
      </c>
      <c r="M505" t="s">
        <v>57</v>
      </c>
      <c r="N505" t="s">
        <v>69</v>
      </c>
      <c r="O505" t="s">
        <v>25</v>
      </c>
    </row>
    <row r="506" spans="1:15" x14ac:dyDescent="0.35">
      <c r="A506">
        <v>2359733</v>
      </c>
      <c r="B506" t="s">
        <v>15</v>
      </c>
      <c r="C506" t="s">
        <v>78</v>
      </c>
      <c r="D506">
        <v>43</v>
      </c>
      <c r="E506" t="s">
        <v>35</v>
      </c>
      <c r="F506" s="1">
        <v>42395.909722222219</v>
      </c>
      <c r="G506" t="s">
        <v>865</v>
      </c>
      <c r="H506" t="s">
        <v>54</v>
      </c>
      <c r="I506" t="s">
        <v>866</v>
      </c>
      <c r="J506">
        <v>21</v>
      </c>
      <c r="K506" t="s">
        <v>49</v>
      </c>
      <c r="L506" t="s">
        <v>22</v>
      </c>
      <c r="M506" t="s">
        <v>23</v>
      </c>
      <c r="N506" t="s">
        <v>93</v>
      </c>
      <c r="O506" t="s">
        <v>25</v>
      </c>
    </row>
    <row r="507" spans="1:15" x14ac:dyDescent="0.35">
      <c r="A507">
        <v>809006</v>
      </c>
      <c r="B507" t="s">
        <v>15</v>
      </c>
      <c r="C507" t="s">
        <v>78</v>
      </c>
      <c r="D507">
        <v>31</v>
      </c>
      <c r="E507" t="s">
        <v>35</v>
      </c>
      <c r="F507" s="1">
        <v>42415.995833333334</v>
      </c>
      <c r="G507" t="s">
        <v>36</v>
      </c>
      <c r="H507" t="s">
        <v>71</v>
      </c>
      <c r="I507" t="s">
        <v>867</v>
      </c>
      <c r="J507">
        <v>23</v>
      </c>
      <c r="K507" t="s">
        <v>21</v>
      </c>
      <c r="L507" t="s">
        <v>50</v>
      </c>
      <c r="M507" t="s">
        <v>23</v>
      </c>
      <c r="N507" t="s">
        <v>24</v>
      </c>
      <c r="O507" t="s">
        <v>104</v>
      </c>
    </row>
    <row r="508" spans="1:15" x14ac:dyDescent="0.35">
      <c r="A508">
        <v>809006</v>
      </c>
      <c r="B508" t="s">
        <v>15</v>
      </c>
      <c r="C508" t="s">
        <v>78</v>
      </c>
      <c r="D508">
        <v>31</v>
      </c>
      <c r="E508" t="s">
        <v>35</v>
      </c>
      <c r="F508" s="1">
        <v>42416.557638888888</v>
      </c>
      <c r="G508" t="s">
        <v>18</v>
      </c>
      <c r="H508" t="s">
        <v>19</v>
      </c>
      <c r="I508" t="s">
        <v>868</v>
      </c>
      <c r="J508">
        <v>13</v>
      </c>
      <c r="K508" t="s">
        <v>49</v>
      </c>
      <c r="L508" t="s">
        <v>50</v>
      </c>
      <c r="M508" t="s">
        <v>23</v>
      </c>
      <c r="N508" t="s">
        <v>24</v>
      </c>
      <c r="O508" t="s">
        <v>44</v>
      </c>
    </row>
    <row r="509" spans="1:15" x14ac:dyDescent="0.35">
      <c r="A509">
        <v>891747</v>
      </c>
      <c r="B509" t="s">
        <v>15</v>
      </c>
      <c r="C509" t="s">
        <v>16</v>
      </c>
      <c r="D509">
        <v>46</v>
      </c>
      <c r="E509" t="s">
        <v>35</v>
      </c>
      <c r="F509" s="1">
        <v>42453.572222222225</v>
      </c>
      <c r="G509" t="s">
        <v>869</v>
      </c>
      <c r="H509" t="s">
        <v>71</v>
      </c>
      <c r="I509" t="s">
        <v>870</v>
      </c>
      <c r="J509">
        <v>13</v>
      </c>
      <c r="K509" t="s">
        <v>63</v>
      </c>
      <c r="L509" t="s">
        <v>31</v>
      </c>
      <c r="M509" t="s">
        <v>23</v>
      </c>
      <c r="N509" t="s">
        <v>93</v>
      </c>
      <c r="O509" t="s">
        <v>44</v>
      </c>
    </row>
    <row r="510" spans="1:15" x14ac:dyDescent="0.35">
      <c r="A510">
        <v>601422</v>
      </c>
      <c r="B510" t="s">
        <v>38</v>
      </c>
      <c r="C510" t="s">
        <v>129</v>
      </c>
      <c r="D510">
        <v>10</v>
      </c>
      <c r="E510" t="s">
        <v>17</v>
      </c>
      <c r="F510" s="1">
        <v>42378.65347222222</v>
      </c>
      <c r="G510" t="s">
        <v>871</v>
      </c>
      <c r="H510" t="s">
        <v>71</v>
      </c>
      <c r="I510" t="s">
        <v>872</v>
      </c>
      <c r="J510">
        <v>15</v>
      </c>
      <c r="K510" t="s">
        <v>68</v>
      </c>
      <c r="L510" t="s">
        <v>22</v>
      </c>
      <c r="M510" t="s">
        <v>57</v>
      </c>
      <c r="N510" t="s">
        <v>32</v>
      </c>
      <c r="O510" t="s">
        <v>44</v>
      </c>
    </row>
    <row r="511" spans="1:15" x14ac:dyDescent="0.35">
      <c r="A511">
        <v>866215</v>
      </c>
      <c r="B511" t="s">
        <v>15</v>
      </c>
      <c r="C511" t="s">
        <v>78</v>
      </c>
      <c r="D511">
        <v>22</v>
      </c>
      <c r="E511" t="s">
        <v>64</v>
      </c>
      <c r="F511" s="1">
        <v>42436.666666666664</v>
      </c>
      <c r="G511" t="s">
        <v>292</v>
      </c>
      <c r="H511" t="s">
        <v>19</v>
      </c>
      <c r="I511" t="s">
        <v>873</v>
      </c>
      <c r="J511">
        <v>16</v>
      </c>
      <c r="K511" t="s">
        <v>21</v>
      </c>
      <c r="L511" t="s">
        <v>31</v>
      </c>
      <c r="M511" t="s">
        <v>23</v>
      </c>
      <c r="N511" t="s">
        <v>69</v>
      </c>
      <c r="O511" t="s">
        <v>44</v>
      </c>
    </row>
    <row r="512" spans="1:15" x14ac:dyDescent="0.35">
      <c r="A512">
        <v>939668</v>
      </c>
      <c r="B512" t="s">
        <v>15</v>
      </c>
      <c r="C512" t="s">
        <v>78</v>
      </c>
      <c r="D512">
        <v>21</v>
      </c>
      <c r="E512" t="s">
        <v>75</v>
      </c>
      <c r="F512" s="1">
        <v>42440.270138888889</v>
      </c>
      <c r="G512" t="s">
        <v>874</v>
      </c>
      <c r="H512" t="s">
        <v>54</v>
      </c>
      <c r="I512" t="s">
        <v>875</v>
      </c>
      <c r="J512">
        <v>6</v>
      </c>
      <c r="K512" t="s">
        <v>42</v>
      </c>
      <c r="L512" t="s">
        <v>31</v>
      </c>
      <c r="M512" t="s">
        <v>23</v>
      </c>
      <c r="N512" t="s">
        <v>69</v>
      </c>
      <c r="O512" t="s">
        <v>33</v>
      </c>
    </row>
    <row r="513" spans="1:15" x14ac:dyDescent="0.35">
      <c r="A513">
        <v>939668</v>
      </c>
      <c r="B513" t="s">
        <v>15</v>
      </c>
      <c r="C513" t="s">
        <v>78</v>
      </c>
      <c r="D513">
        <v>21</v>
      </c>
      <c r="E513" t="s">
        <v>75</v>
      </c>
      <c r="F513" s="1">
        <v>42441.289583333331</v>
      </c>
      <c r="G513" t="s">
        <v>654</v>
      </c>
      <c r="H513" t="s">
        <v>91</v>
      </c>
      <c r="I513" t="s">
        <v>876</v>
      </c>
      <c r="J513">
        <v>6</v>
      </c>
      <c r="K513" t="s">
        <v>68</v>
      </c>
      <c r="L513" t="s">
        <v>31</v>
      </c>
      <c r="M513" t="s">
        <v>57</v>
      </c>
      <c r="N513" t="s">
        <v>69</v>
      </c>
      <c r="O513" t="s">
        <v>33</v>
      </c>
    </row>
    <row r="514" spans="1:15" x14ac:dyDescent="0.35">
      <c r="A514">
        <v>939668</v>
      </c>
      <c r="B514" t="s">
        <v>15</v>
      </c>
      <c r="C514" t="s">
        <v>78</v>
      </c>
      <c r="D514">
        <v>21</v>
      </c>
      <c r="E514" t="s">
        <v>75</v>
      </c>
      <c r="F514" s="1">
        <v>42441.716666666667</v>
      </c>
      <c r="G514" t="s">
        <v>877</v>
      </c>
      <c r="H514" t="s">
        <v>86</v>
      </c>
      <c r="I514" t="s">
        <v>878</v>
      </c>
      <c r="J514">
        <v>17</v>
      </c>
      <c r="K514" t="s">
        <v>68</v>
      </c>
      <c r="L514" t="s">
        <v>31</v>
      </c>
      <c r="M514" t="s">
        <v>57</v>
      </c>
      <c r="N514" t="s">
        <v>69</v>
      </c>
      <c r="O514" t="s">
        <v>25</v>
      </c>
    </row>
    <row r="515" spans="1:15" x14ac:dyDescent="0.35">
      <c r="A515">
        <v>939668</v>
      </c>
      <c r="B515" t="s">
        <v>15</v>
      </c>
      <c r="C515" t="s">
        <v>78</v>
      </c>
      <c r="D515">
        <v>21</v>
      </c>
      <c r="E515" t="s">
        <v>75</v>
      </c>
      <c r="F515" s="1">
        <v>42441.784722222219</v>
      </c>
      <c r="G515" t="s">
        <v>36</v>
      </c>
      <c r="H515" t="s">
        <v>54</v>
      </c>
      <c r="I515" t="s">
        <v>879</v>
      </c>
      <c r="J515">
        <v>18</v>
      </c>
      <c r="K515" t="s">
        <v>68</v>
      </c>
      <c r="L515" t="s">
        <v>31</v>
      </c>
      <c r="M515" t="s">
        <v>57</v>
      </c>
      <c r="N515" t="s">
        <v>69</v>
      </c>
      <c r="O515" t="s">
        <v>25</v>
      </c>
    </row>
    <row r="516" spans="1:15" x14ac:dyDescent="0.35">
      <c r="A516">
        <v>416232</v>
      </c>
      <c r="B516" t="s">
        <v>26</v>
      </c>
      <c r="C516" t="s">
        <v>26</v>
      </c>
      <c r="D516">
        <v>0</v>
      </c>
      <c r="E516" t="s">
        <v>26</v>
      </c>
      <c r="F516" s="1">
        <v>42413.21875</v>
      </c>
      <c r="G516" t="s">
        <v>76</v>
      </c>
      <c r="H516" t="s">
        <v>51</v>
      </c>
      <c r="I516" t="s">
        <v>880</v>
      </c>
      <c r="J516">
        <v>5</v>
      </c>
      <c r="K516" t="s">
        <v>68</v>
      </c>
      <c r="L516" t="s">
        <v>50</v>
      </c>
      <c r="M516" t="s">
        <v>57</v>
      </c>
      <c r="N516" t="s">
        <v>32</v>
      </c>
      <c r="O516" t="s">
        <v>33</v>
      </c>
    </row>
    <row r="517" spans="1:15" x14ac:dyDescent="0.35">
      <c r="A517">
        <v>793652</v>
      </c>
      <c r="B517" t="s">
        <v>15</v>
      </c>
      <c r="C517" t="s">
        <v>78</v>
      </c>
      <c r="D517">
        <v>32</v>
      </c>
      <c r="E517" t="s">
        <v>45</v>
      </c>
      <c r="F517" s="1">
        <v>42453.368055555555</v>
      </c>
      <c r="G517" t="s">
        <v>178</v>
      </c>
      <c r="H517" t="s">
        <v>71</v>
      </c>
      <c r="I517" t="s">
        <v>881</v>
      </c>
      <c r="J517">
        <v>8</v>
      </c>
      <c r="K517" t="s">
        <v>63</v>
      </c>
      <c r="L517" t="s">
        <v>31</v>
      </c>
      <c r="M517" t="s">
        <v>23</v>
      </c>
      <c r="N517" t="s">
        <v>24</v>
      </c>
      <c r="O517" t="s">
        <v>33</v>
      </c>
    </row>
    <row r="518" spans="1:15" x14ac:dyDescent="0.35">
      <c r="A518">
        <v>830884</v>
      </c>
      <c r="B518" t="s">
        <v>15</v>
      </c>
      <c r="C518" t="s">
        <v>39</v>
      </c>
      <c r="D518">
        <v>50</v>
      </c>
      <c r="E518" t="s">
        <v>35</v>
      </c>
      <c r="F518" s="1">
        <v>42440.518055555556</v>
      </c>
      <c r="G518" t="s">
        <v>882</v>
      </c>
      <c r="H518" t="s">
        <v>116</v>
      </c>
      <c r="I518" t="s">
        <v>883</v>
      </c>
      <c r="J518">
        <v>12</v>
      </c>
      <c r="K518" t="s">
        <v>42</v>
      </c>
      <c r="L518" t="s">
        <v>31</v>
      </c>
      <c r="M518" t="s">
        <v>23</v>
      </c>
      <c r="N518" t="s">
        <v>43</v>
      </c>
      <c r="O518" t="s">
        <v>44</v>
      </c>
    </row>
    <row r="519" spans="1:15" x14ac:dyDescent="0.35">
      <c r="A519">
        <v>809008</v>
      </c>
      <c r="B519" t="s">
        <v>15</v>
      </c>
      <c r="C519" t="s">
        <v>16</v>
      </c>
      <c r="D519">
        <v>28</v>
      </c>
      <c r="E519" t="s">
        <v>860</v>
      </c>
      <c r="F519" s="1">
        <v>42432.804861111108</v>
      </c>
      <c r="G519" t="s">
        <v>145</v>
      </c>
      <c r="H519" t="s">
        <v>54</v>
      </c>
      <c r="I519" t="s">
        <v>884</v>
      </c>
      <c r="J519">
        <v>19</v>
      </c>
      <c r="K519" t="s">
        <v>63</v>
      </c>
      <c r="L519" t="s">
        <v>31</v>
      </c>
      <c r="M519" t="s">
        <v>23</v>
      </c>
      <c r="N519" t="s">
        <v>69</v>
      </c>
      <c r="O519" t="s">
        <v>25</v>
      </c>
    </row>
    <row r="520" spans="1:15" x14ac:dyDescent="0.35">
      <c r="A520">
        <v>809008</v>
      </c>
      <c r="B520" t="s">
        <v>15</v>
      </c>
      <c r="C520" t="s">
        <v>16</v>
      </c>
      <c r="D520">
        <v>28</v>
      </c>
      <c r="E520" t="s">
        <v>860</v>
      </c>
      <c r="F520" s="1">
        <v>42432.776388888888</v>
      </c>
      <c r="G520" t="s">
        <v>361</v>
      </c>
      <c r="H520" t="s">
        <v>669</v>
      </c>
      <c r="I520" t="s">
        <v>885</v>
      </c>
      <c r="J520">
        <v>18</v>
      </c>
      <c r="K520" t="s">
        <v>63</v>
      </c>
      <c r="L520" t="s">
        <v>31</v>
      </c>
      <c r="M520" t="s">
        <v>23</v>
      </c>
      <c r="N520" t="s">
        <v>69</v>
      </c>
      <c r="O520" t="s">
        <v>25</v>
      </c>
    </row>
    <row r="521" spans="1:15" x14ac:dyDescent="0.35">
      <c r="A521">
        <v>809008</v>
      </c>
      <c r="B521" t="s">
        <v>15</v>
      </c>
      <c r="C521" t="s">
        <v>16</v>
      </c>
      <c r="D521">
        <v>28</v>
      </c>
      <c r="E521" t="s">
        <v>860</v>
      </c>
      <c r="F521" s="1">
        <v>42434.42083333333</v>
      </c>
      <c r="G521" t="s">
        <v>184</v>
      </c>
      <c r="H521" t="s">
        <v>106</v>
      </c>
      <c r="I521" t="s">
        <v>886</v>
      </c>
      <c r="J521">
        <v>10</v>
      </c>
      <c r="K521" t="s">
        <v>68</v>
      </c>
      <c r="L521" t="s">
        <v>31</v>
      </c>
      <c r="M521" t="s">
        <v>57</v>
      </c>
      <c r="N521" t="s">
        <v>69</v>
      </c>
      <c r="O521" t="s">
        <v>33</v>
      </c>
    </row>
    <row r="522" spans="1:15" x14ac:dyDescent="0.35">
      <c r="A522">
        <v>809008</v>
      </c>
      <c r="B522" t="s">
        <v>15</v>
      </c>
      <c r="C522" t="s">
        <v>16</v>
      </c>
      <c r="D522">
        <v>28</v>
      </c>
      <c r="E522" t="s">
        <v>860</v>
      </c>
      <c r="F522" s="1">
        <v>42434.574305555558</v>
      </c>
      <c r="G522" t="s">
        <v>887</v>
      </c>
      <c r="H522" t="s">
        <v>86</v>
      </c>
      <c r="I522" t="s">
        <v>888</v>
      </c>
      <c r="J522">
        <v>13</v>
      </c>
      <c r="K522" t="s">
        <v>68</v>
      </c>
      <c r="L522" t="s">
        <v>31</v>
      </c>
      <c r="M522" t="s">
        <v>57</v>
      </c>
      <c r="N522" t="s">
        <v>69</v>
      </c>
      <c r="O522" t="s">
        <v>44</v>
      </c>
    </row>
    <row r="523" spans="1:15" x14ac:dyDescent="0.35">
      <c r="A523">
        <v>809008</v>
      </c>
      <c r="B523" t="s">
        <v>15</v>
      </c>
      <c r="C523" t="s">
        <v>16</v>
      </c>
      <c r="D523">
        <v>28</v>
      </c>
      <c r="E523" t="s">
        <v>860</v>
      </c>
      <c r="F523" s="1">
        <v>42428.602777777778</v>
      </c>
      <c r="G523" t="s">
        <v>889</v>
      </c>
      <c r="H523" t="s">
        <v>66</v>
      </c>
      <c r="I523" t="s">
        <v>890</v>
      </c>
      <c r="J523">
        <v>14</v>
      </c>
      <c r="K523" t="s">
        <v>56</v>
      </c>
      <c r="L523" t="s">
        <v>50</v>
      </c>
      <c r="M523" t="s">
        <v>57</v>
      </c>
      <c r="N523" t="s">
        <v>69</v>
      </c>
      <c r="O523" t="s">
        <v>44</v>
      </c>
    </row>
    <row r="524" spans="1:15" x14ac:dyDescent="0.35">
      <c r="A524">
        <v>809008</v>
      </c>
      <c r="B524" t="s">
        <v>15</v>
      </c>
      <c r="C524" t="s">
        <v>16</v>
      </c>
      <c r="D524">
        <v>28</v>
      </c>
      <c r="E524" t="s">
        <v>860</v>
      </c>
      <c r="F524" s="1">
        <v>42438.507638888892</v>
      </c>
      <c r="G524" t="s">
        <v>187</v>
      </c>
      <c r="H524" t="s">
        <v>28</v>
      </c>
      <c r="I524" t="s">
        <v>891</v>
      </c>
      <c r="J524">
        <v>12</v>
      </c>
      <c r="K524" t="s">
        <v>30</v>
      </c>
      <c r="L524" t="s">
        <v>31</v>
      </c>
      <c r="M524" t="s">
        <v>23</v>
      </c>
      <c r="N524" t="s">
        <v>69</v>
      </c>
      <c r="O524" t="s">
        <v>44</v>
      </c>
    </row>
    <row r="525" spans="1:15" x14ac:dyDescent="0.35">
      <c r="A525">
        <v>809008</v>
      </c>
      <c r="B525" t="s">
        <v>15</v>
      </c>
      <c r="C525" t="s">
        <v>16</v>
      </c>
      <c r="D525">
        <v>28</v>
      </c>
      <c r="E525" t="s">
        <v>860</v>
      </c>
      <c r="F525" s="1">
        <v>42430.802083333336</v>
      </c>
      <c r="G525" t="s">
        <v>892</v>
      </c>
      <c r="H525" t="s">
        <v>86</v>
      </c>
      <c r="I525" t="s">
        <v>893</v>
      </c>
      <c r="J525">
        <v>19</v>
      </c>
      <c r="K525" t="s">
        <v>49</v>
      </c>
      <c r="L525" t="s">
        <v>31</v>
      </c>
      <c r="M525" t="s">
        <v>23</v>
      </c>
      <c r="N525" t="s">
        <v>69</v>
      </c>
      <c r="O525" t="s">
        <v>25</v>
      </c>
    </row>
    <row r="526" spans="1:15" x14ac:dyDescent="0.35">
      <c r="A526">
        <v>771881</v>
      </c>
      <c r="B526" t="s">
        <v>15</v>
      </c>
      <c r="C526" t="s">
        <v>78</v>
      </c>
      <c r="D526">
        <v>31</v>
      </c>
      <c r="E526" t="s">
        <v>35</v>
      </c>
      <c r="F526" s="1">
        <v>42451.30972222222</v>
      </c>
      <c r="G526" t="s">
        <v>361</v>
      </c>
      <c r="H526" t="s">
        <v>51</v>
      </c>
      <c r="I526" t="s">
        <v>894</v>
      </c>
      <c r="J526">
        <v>7</v>
      </c>
      <c r="K526" t="s">
        <v>49</v>
      </c>
      <c r="L526" t="s">
        <v>31</v>
      </c>
      <c r="M526" t="s">
        <v>23</v>
      </c>
      <c r="N526" t="s">
        <v>24</v>
      </c>
      <c r="O526" t="s">
        <v>33</v>
      </c>
    </row>
    <row r="527" spans="1:15" x14ac:dyDescent="0.35">
      <c r="A527">
        <v>771881</v>
      </c>
      <c r="B527" t="s">
        <v>15</v>
      </c>
      <c r="C527" t="s">
        <v>78</v>
      </c>
      <c r="D527">
        <v>31</v>
      </c>
      <c r="E527" t="s">
        <v>35</v>
      </c>
      <c r="F527" s="1">
        <v>42387.57916666667</v>
      </c>
      <c r="G527" t="s">
        <v>253</v>
      </c>
      <c r="H527" t="s">
        <v>106</v>
      </c>
      <c r="I527" t="s">
        <v>895</v>
      </c>
      <c r="J527">
        <v>13</v>
      </c>
      <c r="K527" t="s">
        <v>21</v>
      </c>
      <c r="L527" t="s">
        <v>22</v>
      </c>
      <c r="M527" t="s">
        <v>23</v>
      </c>
      <c r="N527" t="s">
        <v>24</v>
      </c>
      <c r="O527" t="s">
        <v>44</v>
      </c>
    </row>
    <row r="528" spans="1:15" x14ac:dyDescent="0.35">
      <c r="A528">
        <v>771881</v>
      </c>
      <c r="B528" t="s">
        <v>15</v>
      </c>
      <c r="C528" t="s">
        <v>78</v>
      </c>
      <c r="D528">
        <v>31</v>
      </c>
      <c r="E528" t="s">
        <v>35</v>
      </c>
      <c r="F528" s="1">
        <v>42389.713194444441</v>
      </c>
      <c r="G528" t="s">
        <v>196</v>
      </c>
      <c r="H528" t="s">
        <v>106</v>
      </c>
      <c r="I528" t="s">
        <v>896</v>
      </c>
      <c r="J528">
        <v>17</v>
      </c>
      <c r="K528" t="s">
        <v>30</v>
      </c>
      <c r="L528" t="s">
        <v>22</v>
      </c>
      <c r="M528" t="s">
        <v>23</v>
      </c>
      <c r="N528" t="s">
        <v>24</v>
      </c>
      <c r="O528" t="s">
        <v>25</v>
      </c>
    </row>
    <row r="529" spans="1:15" x14ac:dyDescent="0.35">
      <c r="A529">
        <v>771881</v>
      </c>
      <c r="B529" t="s">
        <v>15</v>
      </c>
      <c r="C529" t="s">
        <v>78</v>
      </c>
      <c r="D529">
        <v>31</v>
      </c>
      <c r="E529" t="s">
        <v>35</v>
      </c>
      <c r="F529" s="1">
        <v>42449.661111111112</v>
      </c>
      <c r="G529" t="s">
        <v>493</v>
      </c>
      <c r="H529" t="s">
        <v>71</v>
      </c>
      <c r="I529" t="s">
        <v>897</v>
      </c>
      <c r="J529">
        <v>15</v>
      </c>
      <c r="K529" t="s">
        <v>56</v>
      </c>
      <c r="L529" t="s">
        <v>31</v>
      </c>
      <c r="M529" t="s">
        <v>57</v>
      </c>
      <c r="N529" t="s">
        <v>24</v>
      </c>
      <c r="O529" t="s">
        <v>44</v>
      </c>
    </row>
    <row r="530" spans="1:15" x14ac:dyDescent="0.35">
      <c r="A530">
        <v>771882</v>
      </c>
      <c r="B530" t="s">
        <v>15</v>
      </c>
      <c r="C530" t="s">
        <v>78</v>
      </c>
      <c r="D530">
        <v>27</v>
      </c>
      <c r="E530" t="s">
        <v>35</v>
      </c>
      <c r="F530" s="1">
        <v>42394.696527777778</v>
      </c>
      <c r="G530" t="s">
        <v>567</v>
      </c>
      <c r="H530" t="s">
        <v>66</v>
      </c>
      <c r="I530" t="s">
        <v>898</v>
      </c>
      <c r="J530">
        <v>16</v>
      </c>
      <c r="K530" t="s">
        <v>21</v>
      </c>
      <c r="L530" t="s">
        <v>22</v>
      </c>
      <c r="M530" t="s">
        <v>23</v>
      </c>
      <c r="N530" t="s">
        <v>69</v>
      </c>
      <c r="O530" t="s">
        <v>44</v>
      </c>
    </row>
    <row r="531" spans="1:15" x14ac:dyDescent="0.35">
      <c r="A531">
        <v>771882</v>
      </c>
      <c r="B531" t="s">
        <v>15</v>
      </c>
      <c r="C531" t="s">
        <v>78</v>
      </c>
      <c r="D531">
        <v>27</v>
      </c>
      <c r="E531" t="s">
        <v>35</v>
      </c>
      <c r="F531" s="1">
        <v>42389.442361111112</v>
      </c>
      <c r="G531" t="s">
        <v>899</v>
      </c>
      <c r="H531" t="s">
        <v>106</v>
      </c>
      <c r="I531" t="s">
        <v>900</v>
      </c>
      <c r="J531">
        <v>10</v>
      </c>
      <c r="K531" t="s">
        <v>30</v>
      </c>
      <c r="L531" t="s">
        <v>22</v>
      </c>
      <c r="M531" t="s">
        <v>23</v>
      </c>
      <c r="N531" t="s">
        <v>69</v>
      </c>
      <c r="O531" t="s">
        <v>33</v>
      </c>
    </row>
    <row r="532" spans="1:15" x14ac:dyDescent="0.35">
      <c r="A532">
        <v>771882</v>
      </c>
      <c r="B532" t="s">
        <v>15</v>
      </c>
      <c r="C532" t="s">
        <v>78</v>
      </c>
      <c r="D532">
        <v>27</v>
      </c>
      <c r="E532" t="s">
        <v>35</v>
      </c>
      <c r="F532" s="1">
        <v>42417.964583333334</v>
      </c>
      <c r="G532" t="s">
        <v>85</v>
      </c>
      <c r="H532" t="s">
        <v>66</v>
      </c>
      <c r="I532" t="s">
        <v>901</v>
      </c>
      <c r="J532">
        <v>23</v>
      </c>
      <c r="K532" t="s">
        <v>30</v>
      </c>
      <c r="L532" t="s">
        <v>50</v>
      </c>
      <c r="M532" t="s">
        <v>23</v>
      </c>
      <c r="N532" t="s">
        <v>69</v>
      </c>
      <c r="O532" t="s">
        <v>104</v>
      </c>
    </row>
    <row r="533" spans="1:15" x14ac:dyDescent="0.35">
      <c r="A533">
        <v>930047</v>
      </c>
      <c r="B533" t="s">
        <v>15</v>
      </c>
      <c r="C533" t="s">
        <v>34</v>
      </c>
      <c r="D533">
        <v>40</v>
      </c>
      <c r="E533" t="s">
        <v>35</v>
      </c>
      <c r="F533" s="1">
        <v>42457.65</v>
      </c>
      <c r="G533" t="s">
        <v>481</v>
      </c>
      <c r="H533" t="s">
        <v>86</v>
      </c>
      <c r="I533" t="s">
        <v>902</v>
      </c>
      <c r="J533">
        <v>15</v>
      </c>
      <c r="K533" t="s">
        <v>21</v>
      </c>
      <c r="L533" t="s">
        <v>31</v>
      </c>
      <c r="M533" t="s">
        <v>23</v>
      </c>
      <c r="N533" t="s">
        <v>93</v>
      </c>
      <c r="O533" t="s">
        <v>44</v>
      </c>
    </row>
    <row r="534" spans="1:15" x14ac:dyDescent="0.35">
      <c r="A534">
        <v>809010</v>
      </c>
      <c r="B534" t="s">
        <v>15</v>
      </c>
      <c r="C534" t="s">
        <v>16</v>
      </c>
      <c r="D534">
        <v>31</v>
      </c>
      <c r="E534" t="s">
        <v>35</v>
      </c>
      <c r="F534" s="1">
        <v>42414.400000000001</v>
      </c>
      <c r="G534" t="s">
        <v>903</v>
      </c>
      <c r="H534" t="s">
        <v>66</v>
      </c>
      <c r="I534" t="s">
        <v>904</v>
      </c>
      <c r="J534">
        <v>9</v>
      </c>
      <c r="K534" t="s">
        <v>56</v>
      </c>
      <c r="L534" t="s">
        <v>50</v>
      </c>
      <c r="M534" t="s">
        <v>57</v>
      </c>
      <c r="N534" t="s">
        <v>24</v>
      </c>
      <c r="O534" t="s">
        <v>33</v>
      </c>
    </row>
    <row r="535" spans="1:15" x14ac:dyDescent="0.35">
      <c r="A535">
        <v>809010</v>
      </c>
      <c r="B535" t="s">
        <v>15</v>
      </c>
      <c r="C535" t="s">
        <v>16</v>
      </c>
      <c r="D535">
        <v>31</v>
      </c>
      <c r="E535" t="s">
        <v>35</v>
      </c>
      <c r="F535" s="1">
        <v>42416.606944444444</v>
      </c>
      <c r="G535" t="s">
        <v>905</v>
      </c>
      <c r="H535" t="s">
        <v>66</v>
      </c>
      <c r="I535" t="s">
        <v>906</v>
      </c>
      <c r="J535">
        <v>14</v>
      </c>
      <c r="K535" t="s">
        <v>49</v>
      </c>
      <c r="L535" t="s">
        <v>50</v>
      </c>
      <c r="M535" t="s">
        <v>23</v>
      </c>
      <c r="N535" t="s">
        <v>24</v>
      </c>
      <c r="O535" t="s">
        <v>44</v>
      </c>
    </row>
    <row r="536" spans="1:15" x14ac:dyDescent="0.35">
      <c r="A536">
        <v>809010</v>
      </c>
      <c r="B536" t="s">
        <v>15</v>
      </c>
      <c r="C536" t="s">
        <v>16</v>
      </c>
      <c r="D536">
        <v>31</v>
      </c>
      <c r="E536" t="s">
        <v>35</v>
      </c>
      <c r="F536" s="1">
        <v>42416.405555555553</v>
      </c>
      <c r="G536" t="s">
        <v>208</v>
      </c>
      <c r="H536" t="s">
        <v>19</v>
      </c>
      <c r="I536" t="s">
        <v>907</v>
      </c>
      <c r="J536">
        <v>9</v>
      </c>
      <c r="K536" t="s">
        <v>49</v>
      </c>
      <c r="L536" t="s">
        <v>50</v>
      </c>
      <c r="M536" t="s">
        <v>23</v>
      </c>
      <c r="N536" t="s">
        <v>24</v>
      </c>
      <c r="O536" t="s">
        <v>33</v>
      </c>
    </row>
    <row r="537" spans="1:15" x14ac:dyDescent="0.35">
      <c r="A537">
        <v>939673</v>
      </c>
      <c r="B537" t="s">
        <v>15</v>
      </c>
      <c r="C537" t="s">
        <v>78</v>
      </c>
      <c r="D537">
        <v>29</v>
      </c>
      <c r="E537" t="s">
        <v>17</v>
      </c>
      <c r="F537" s="1">
        <v>42457.472222222219</v>
      </c>
      <c r="G537" t="s">
        <v>908</v>
      </c>
      <c r="H537" t="s">
        <v>86</v>
      </c>
      <c r="I537" t="s">
        <v>909</v>
      </c>
      <c r="J537">
        <v>11</v>
      </c>
      <c r="K537" t="s">
        <v>21</v>
      </c>
      <c r="L537" t="s">
        <v>31</v>
      </c>
      <c r="M537" t="s">
        <v>23</v>
      </c>
      <c r="N537" t="s">
        <v>24</v>
      </c>
      <c r="O537" t="s">
        <v>44</v>
      </c>
    </row>
    <row r="538" spans="1:15" x14ac:dyDescent="0.35">
      <c r="A538">
        <v>764396</v>
      </c>
      <c r="B538" t="s">
        <v>15</v>
      </c>
      <c r="C538" t="s">
        <v>39</v>
      </c>
      <c r="D538">
        <v>52</v>
      </c>
      <c r="E538" t="s">
        <v>45</v>
      </c>
      <c r="F538" s="1">
        <v>42393.820138888892</v>
      </c>
      <c r="G538" t="s">
        <v>495</v>
      </c>
      <c r="H538" t="s">
        <v>71</v>
      </c>
      <c r="I538" t="s">
        <v>910</v>
      </c>
      <c r="J538">
        <v>19</v>
      </c>
      <c r="K538" t="s">
        <v>56</v>
      </c>
      <c r="L538" t="s">
        <v>22</v>
      </c>
      <c r="M538" t="s">
        <v>57</v>
      </c>
      <c r="N538" t="s">
        <v>43</v>
      </c>
      <c r="O538" t="s">
        <v>25</v>
      </c>
    </row>
    <row r="539" spans="1:15" x14ac:dyDescent="0.35">
      <c r="A539">
        <v>764396</v>
      </c>
      <c r="B539" t="s">
        <v>15</v>
      </c>
      <c r="C539" t="s">
        <v>39</v>
      </c>
      <c r="D539">
        <v>52</v>
      </c>
      <c r="E539" t="s">
        <v>45</v>
      </c>
      <c r="F539" s="1">
        <v>42394.36041666667</v>
      </c>
      <c r="G539" t="s">
        <v>911</v>
      </c>
      <c r="H539" t="s">
        <v>116</v>
      </c>
      <c r="I539" t="s">
        <v>912</v>
      </c>
      <c r="J539">
        <v>8</v>
      </c>
      <c r="K539" t="s">
        <v>21</v>
      </c>
      <c r="L539" t="s">
        <v>22</v>
      </c>
      <c r="M539" t="s">
        <v>23</v>
      </c>
      <c r="N539" t="s">
        <v>43</v>
      </c>
      <c r="O539" t="s">
        <v>33</v>
      </c>
    </row>
    <row r="540" spans="1:15" x14ac:dyDescent="0.35">
      <c r="A540">
        <v>764396</v>
      </c>
      <c r="B540" t="s">
        <v>15</v>
      </c>
      <c r="C540" t="s">
        <v>39</v>
      </c>
      <c r="D540">
        <v>52</v>
      </c>
      <c r="E540" t="s">
        <v>45</v>
      </c>
      <c r="F540" s="1">
        <v>42377.160416666666</v>
      </c>
      <c r="G540" t="s">
        <v>913</v>
      </c>
      <c r="H540" t="s">
        <v>51</v>
      </c>
      <c r="I540" t="s">
        <v>914</v>
      </c>
      <c r="J540">
        <v>3</v>
      </c>
      <c r="K540" t="s">
        <v>42</v>
      </c>
      <c r="L540" t="s">
        <v>22</v>
      </c>
      <c r="M540" t="s">
        <v>23</v>
      </c>
      <c r="N540" t="s">
        <v>43</v>
      </c>
      <c r="O540" t="s">
        <v>58</v>
      </c>
    </row>
    <row r="541" spans="1:15" x14ac:dyDescent="0.35">
      <c r="A541">
        <v>764396</v>
      </c>
      <c r="B541" t="s">
        <v>15</v>
      </c>
      <c r="C541" t="s">
        <v>39</v>
      </c>
      <c r="D541">
        <v>52</v>
      </c>
      <c r="E541" t="s">
        <v>45</v>
      </c>
      <c r="F541" s="1">
        <v>42391.158333333333</v>
      </c>
      <c r="G541" t="s">
        <v>420</v>
      </c>
      <c r="H541" t="s">
        <v>66</v>
      </c>
      <c r="I541" t="s">
        <v>915</v>
      </c>
      <c r="J541">
        <v>3</v>
      </c>
      <c r="K541" t="s">
        <v>42</v>
      </c>
      <c r="L541" t="s">
        <v>22</v>
      </c>
      <c r="M541" t="s">
        <v>23</v>
      </c>
      <c r="N541" t="s">
        <v>43</v>
      </c>
      <c r="O541" t="s">
        <v>58</v>
      </c>
    </row>
    <row r="542" spans="1:15" x14ac:dyDescent="0.35">
      <c r="A542">
        <v>764396</v>
      </c>
      <c r="B542" t="s">
        <v>15</v>
      </c>
      <c r="C542" t="s">
        <v>39</v>
      </c>
      <c r="D542">
        <v>52</v>
      </c>
      <c r="E542" t="s">
        <v>45</v>
      </c>
      <c r="F542" s="1">
        <v>42387.234027777777</v>
      </c>
      <c r="G542" t="s">
        <v>314</v>
      </c>
      <c r="H542" t="s">
        <v>66</v>
      </c>
      <c r="I542" t="s">
        <v>916</v>
      </c>
      <c r="J542">
        <v>5</v>
      </c>
      <c r="K542" t="s">
        <v>21</v>
      </c>
      <c r="L542" t="s">
        <v>22</v>
      </c>
      <c r="M542" t="s">
        <v>23</v>
      </c>
      <c r="N542" t="s">
        <v>43</v>
      </c>
      <c r="O542" t="s">
        <v>33</v>
      </c>
    </row>
    <row r="543" spans="1:15" x14ac:dyDescent="0.35">
      <c r="A543">
        <v>809011</v>
      </c>
      <c r="B543" t="s">
        <v>15</v>
      </c>
      <c r="C543" t="s">
        <v>16</v>
      </c>
      <c r="D543">
        <v>48</v>
      </c>
      <c r="E543" t="s">
        <v>17</v>
      </c>
      <c r="F543" s="1">
        <v>42420.227777777778</v>
      </c>
      <c r="G543" t="s">
        <v>493</v>
      </c>
      <c r="H543" t="s">
        <v>71</v>
      </c>
      <c r="I543" t="s">
        <v>917</v>
      </c>
      <c r="J543">
        <v>5</v>
      </c>
      <c r="K543" t="s">
        <v>68</v>
      </c>
      <c r="L543" t="s">
        <v>50</v>
      </c>
      <c r="M543" t="s">
        <v>57</v>
      </c>
      <c r="N543" t="s">
        <v>93</v>
      </c>
      <c r="O543" t="s">
        <v>33</v>
      </c>
    </row>
    <row r="544" spans="1:15" x14ac:dyDescent="0.35">
      <c r="A544">
        <v>809011</v>
      </c>
      <c r="B544" t="s">
        <v>15</v>
      </c>
      <c r="C544" t="s">
        <v>16</v>
      </c>
      <c r="D544">
        <v>48</v>
      </c>
      <c r="E544" t="s">
        <v>17</v>
      </c>
      <c r="F544" s="1">
        <v>42420.604166666664</v>
      </c>
      <c r="G544" t="s">
        <v>76</v>
      </c>
      <c r="H544" t="s">
        <v>86</v>
      </c>
      <c r="I544" t="s">
        <v>918</v>
      </c>
      <c r="J544">
        <v>14</v>
      </c>
      <c r="K544" t="s">
        <v>68</v>
      </c>
      <c r="L544" t="s">
        <v>50</v>
      </c>
      <c r="M544" t="s">
        <v>57</v>
      </c>
      <c r="N544" t="s">
        <v>93</v>
      </c>
      <c r="O544" t="s">
        <v>44</v>
      </c>
    </row>
    <row r="545" spans="1:15" x14ac:dyDescent="0.35">
      <c r="A545">
        <v>809011</v>
      </c>
      <c r="B545" t="s">
        <v>15</v>
      </c>
      <c r="C545" t="s">
        <v>16</v>
      </c>
      <c r="D545">
        <v>48</v>
      </c>
      <c r="E545" t="s">
        <v>17</v>
      </c>
      <c r="F545" s="1">
        <v>42421.773611111108</v>
      </c>
      <c r="G545" t="s">
        <v>420</v>
      </c>
      <c r="H545" t="s">
        <v>86</v>
      </c>
      <c r="I545" t="s">
        <v>919</v>
      </c>
      <c r="J545">
        <v>18</v>
      </c>
      <c r="K545" t="s">
        <v>56</v>
      </c>
      <c r="L545" t="s">
        <v>50</v>
      </c>
      <c r="M545" t="s">
        <v>57</v>
      </c>
      <c r="N545" t="s">
        <v>93</v>
      </c>
      <c r="O545" t="s">
        <v>25</v>
      </c>
    </row>
    <row r="546" spans="1:15" x14ac:dyDescent="0.35">
      <c r="A546">
        <v>809011</v>
      </c>
      <c r="B546" t="s">
        <v>15</v>
      </c>
      <c r="C546" t="s">
        <v>16</v>
      </c>
      <c r="D546">
        <v>48</v>
      </c>
      <c r="E546" t="s">
        <v>17</v>
      </c>
      <c r="F546" s="1">
        <v>42419.560416666667</v>
      </c>
      <c r="G546" t="s">
        <v>920</v>
      </c>
      <c r="H546" t="s">
        <v>71</v>
      </c>
      <c r="I546" t="s">
        <v>921</v>
      </c>
      <c r="J546">
        <v>13</v>
      </c>
      <c r="K546" t="s">
        <v>42</v>
      </c>
      <c r="L546" t="s">
        <v>50</v>
      </c>
      <c r="M546" t="s">
        <v>23</v>
      </c>
      <c r="N546" t="s">
        <v>93</v>
      </c>
      <c r="O546" t="s">
        <v>44</v>
      </c>
    </row>
    <row r="547" spans="1:15" x14ac:dyDescent="0.35">
      <c r="A547">
        <v>809011</v>
      </c>
      <c r="B547" t="s">
        <v>15</v>
      </c>
      <c r="C547" t="s">
        <v>16</v>
      </c>
      <c r="D547">
        <v>48</v>
      </c>
      <c r="E547" t="s">
        <v>17</v>
      </c>
      <c r="F547" s="1">
        <v>42425.438194444447</v>
      </c>
      <c r="G547" t="s">
        <v>922</v>
      </c>
      <c r="H547" t="s">
        <v>28</v>
      </c>
      <c r="I547" t="s">
        <v>923</v>
      </c>
      <c r="J547">
        <v>10</v>
      </c>
      <c r="K547" t="s">
        <v>63</v>
      </c>
      <c r="L547" t="s">
        <v>50</v>
      </c>
      <c r="M547" t="s">
        <v>23</v>
      </c>
      <c r="N547" t="s">
        <v>93</v>
      </c>
      <c r="O547" t="s">
        <v>33</v>
      </c>
    </row>
    <row r="548" spans="1:15" x14ac:dyDescent="0.35">
      <c r="A548">
        <v>809011</v>
      </c>
      <c r="B548" t="s">
        <v>15</v>
      </c>
      <c r="C548" t="s">
        <v>16</v>
      </c>
      <c r="D548">
        <v>48</v>
      </c>
      <c r="E548" t="s">
        <v>17</v>
      </c>
      <c r="F548" s="1">
        <v>42425.32916666667</v>
      </c>
      <c r="G548" t="s">
        <v>924</v>
      </c>
      <c r="H548" t="s">
        <v>71</v>
      </c>
      <c r="I548" t="s">
        <v>925</v>
      </c>
      <c r="J548">
        <v>7</v>
      </c>
      <c r="K548" t="s">
        <v>63</v>
      </c>
      <c r="L548" t="s">
        <v>50</v>
      </c>
      <c r="M548" t="s">
        <v>23</v>
      </c>
      <c r="N548" t="s">
        <v>93</v>
      </c>
      <c r="O548" t="s">
        <v>33</v>
      </c>
    </row>
    <row r="549" spans="1:15" x14ac:dyDescent="0.35">
      <c r="A549">
        <v>809011</v>
      </c>
      <c r="B549" t="s">
        <v>15</v>
      </c>
      <c r="C549" t="s">
        <v>16</v>
      </c>
      <c r="D549">
        <v>48</v>
      </c>
      <c r="E549" t="s">
        <v>17</v>
      </c>
      <c r="F549" s="1">
        <v>42427.429166666669</v>
      </c>
      <c r="G549" t="s">
        <v>420</v>
      </c>
      <c r="H549" t="s">
        <v>251</v>
      </c>
      <c r="I549" t="s">
        <v>926</v>
      </c>
      <c r="J549">
        <v>10</v>
      </c>
      <c r="K549" t="s">
        <v>68</v>
      </c>
      <c r="L549" t="s">
        <v>50</v>
      </c>
      <c r="M549" t="s">
        <v>57</v>
      </c>
      <c r="N549" t="s">
        <v>93</v>
      </c>
      <c r="O549" t="s">
        <v>33</v>
      </c>
    </row>
    <row r="550" spans="1:15" x14ac:dyDescent="0.35">
      <c r="A550">
        <v>875048</v>
      </c>
      <c r="B550" t="s">
        <v>15</v>
      </c>
      <c r="C550" t="s">
        <v>34</v>
      </c>
      <c r="D550">
        <v>25</v>
      </c>
      <c r="E550" t="s">
        <v>35</v>
      </c>
      <c r="F550" s="1">
        <v>42444.370138888888</v>
      </c>
      <c r="G550" t="s">
        <v>76</v>
      </c>
      <c r="H550" t="s">
        <v>28</v>
      </c>
      <c r="I550" t="s">
        <v>927</v>
      </c>
      <c r="J550">
        <v>8</v>
      </c>
      <c r="K550" t="s">
        <v>49</v>
      </c>
      <c r="L550" t="s">
        <v>31</v>
      </c>
      <c r="M550" t="s">
        <v>23</v>
      </c>
      <c r="N550" t="s">
        <v>69</v>
      </c>
      <c r="O550" t="s">
        <v>33</v>
      </c>
    </row>
    <row r="551" spans="1:15" x14ac:dyDescent="0.35">
      <c r="A551">
        <v>721900</v>
      </c>
      <c r="B551" t="s">
        <v>26</v>
      </c>
      <c r="C551" t="s">
        <v>26</v>
      </c>
      <c r="D551">
        <v>0</v>
      </c>
      <c r="E551" t="s">
        <v>26</v>
      </c>
      <c r="F551" s="1">
        <v>42406.805555555555</v>
      </c>
      <c r="G551" t="s">
        <v>76</v>
      </c>
      <c r="H551" t="s">
        <v>47</v>
      </c>
      <c r="I551" t="s">
        <v>928</v>
      </c>
      <c r="J551">
        <v>19</v>
      </c>
      <c r="K551" t="s">
        <v>68</v>
      </c>
      <c r="L551" t="s">
        <v>50</v>
      </c>
      <c r="M551" t="s">
        <v>57</v>
      </c>
      <c r="N551" t="s">
        <v>32</v>
      </c>
      <c r="O551" t="s">
        <v>25</v>
      </c>
    </row>
    <row r="552" spans="1:15" x14ac:dyDescent="0.35">
      <c r="A552">
        <v>831775</v>
      </c>
      <c r="B552" t="s">
        <v>15</v>
      </c>
      <c r="C552" t="s">
        <v>16</v>
      </c>
      <c r="D552">
        <v>34</v>
      </c>
      <c r="E552" t="s">
        <v>45</v>
      </c>
      <c r="F552" s="1">
        <v>42442.361805555556</v>
      </c>
      <c r="G552" t="s">
        <v>384</v>
      </c>
      <c r="H552" t="s">
        <v>225</v>
      </c>
      <c r="I552" t="s">
        <v>929</v>
      </c>
      <c r="J552">
        <v>8</v>
      </c>
      <c r="K552" t="s">
        <v>56</v>
      </c>
      <c r="L552" t="s">
        <v>31</v>
      </c>
      <c r="M552" t="s">
        <v>57</v>
      </c>
      <c r="N552" t="s">
        <v>24</v>
      </c>
      <c r="O552" t="s">
        <v>33</v>
      </c>
    </row>
    <row r="553" spans="1:15" x14ac:dyDescent="0.35">
      <c r="A553">
        <v>831775</v>
      </c>
      <c r="B553" t="s">
        <v>15</v>
      </c>
      <c r="C553" t="s">
        <v>16</v>
      </c>
      <c r="D553">
        <v>34</v>
      </c>
      <c r="E553" t="s">
        <v>45</v>
      </c>
      <c r="F553" s="1">
        <v>42458.671527777777</v>
      </c>
      <c r="G553" t="s">
        <v>244</v>
      </c>
      <c r="H553" t="s">
        <v>106</v>
      </c>
      <c r="I553" t="s">
        <v>930</v>
      </c>
      <c r="J553">
        <v>16</v>
      </c>
      <c r="K553" t="s">
        <v>49</v>
      </c>
      <c r="L553" t="s">
        <v>31</v>
      </c>
      <c r="M553" t="s">
        <v>23</v>
      </c>
      <c r="N553" t="s">
        <v>24</v>
      </c>
      <c r="O553" t="s">
        <v>44</v>
      </c>
    </row>
    <row r="554" spans="1:15" x14ac:dyDescent="0.35">
      <c r="A554">
        <v>803575</v>
      </c>
      <c r="B554" t="s">
        <v>15</v>
      </c>
      <c r="C554" t="s">
        <v>34</v>
      </c>
      <c r="D554">
        <v>27</v>
      </c>
      <c r="E554" t="s">
        <v>45</v>
      </c>
      <c r="F554" s="1">
        <v>42419.380555555559</v>
      </c>
      <c r="G554" t="s">
        <v>493</v>
      </c>
      <c r="H554" t="s">
        <v>71</v>
      </c>
      <c r="I554" t="s">
        <v>931</v>
      </c>
      <c r="J554">
        <v>9</v>
      </c>
      <c r="K554" t="s">
        <v>42</v>
      </c>
      <c r="L554" t="s">
        <v>50</v>
      </c>
      <c r="M554" t="s">
        <v>23</v>
      </c>
      <c r="N554" t="s">
        <v>69</v>
      </c>
      <c r="O554" t="s">
        <v>33</v>
      </c>
    </row>
    <row r="555" spans="1:15" x14ac:dyDescent="0.35">
      <c r="A555">
        <v>803575</v>
      </c>
      <c r="B555" t="s">
        <v>15</v>
      </c>
      <c r="C555" t="s">
        <v>34</v>
      </c>
      <c r="D555">
        <v>27</v>
      </c>
      <c r="E555" t="s">
        <v>45</v>
      </c>
      <c r="F555" s="1">
        <v>42400.406944444447</v>
      </c>
      <c r="G555" t="s">
        <v>191</v>
      </c>
      <c r="H555" t="s">
        <v>71</v>
      </c>
      <c r="I555" t="s">
        <v>932</v>
      </c>
      <c r="J555">
        <v>9</v>
      </c>
      <c r="K555" t="s">
        <v>56</v>
      </c>
      <c r="L555" t="s">
        <v>22</v>
      </c>
      <c r="M555" t="s">
        <v>57</v>
      </c>
      <c r="N555" t="s">
        <v>69</v>
      </c>
      <c r="O555" t="s">
        <v>33</v>
      </c>
    </row>
    <row r="556" spans="1:15" x14ac:dyDescent="0.35">
      <c r="A556">
        <v>803575</v>
      </c>
      <c r="B556" t="s">
        <v>15</v>
      </c>
      <c r="C556" t="s">
        <v>34</v>
      </c>
      <c r="D556">
        <v>27</v>
      </c>
      <c r="E556" t="s">
        <v>45</v>
      </c>
      <c r="F556" s="1">
        <v>42392.44027777778</v>
      </c>
      <c r="G556" t="s">
        <v>933</v>
      </c>
      <c r="H556" t="s">
        <v>71</v>
      </c>
      <c r="I556" t="s">
        <v>934</v>
      </c>
      <c r="J556">
        <v>10</v>
      </c>
      <c r="K556" t="s">
        <v>68</v>
      </c>
      <c r="L556" t="s">
        <v>22</v>
      </c>
      <c r="M556" t="s">
        <v>57</v>
      </c>
      <c r="N556" t="s">
        <v>69</v>
      </c>
      <c r="O556" t="s">
        <v>33</v>
      </c>
    </row>
    <row r="557" spans="1:15" x14ac:dyDescent="0.35">
      <c r="A557">
        <v>939679</v>
      </c>
      <c r="B557" t="s">
        <v>15</v>
      </c>
      <c r="C557" t="s">
        <v>16</v>
      </c>
      <c r="D557">
        <v>41</v>
      </c>
      <c r="E557" t="s">
        <v>17</v>
      </c>
      <c r="F557" s="1">
        <v>42457.648611111108</v>
      </c>
      <c r="G557" t="s">
        <v>196</v>
      </c>
      <c r="H557" t="s">
        <v>51</v>
      </c>
      <c r="I557" t="s">
        <v>935</v>
      </c>
      <c r="J557">
        <v>15</v>
      </c>
      <c r="K557" t="s">
        <v>21</v>
      </c>
      <c r="L557" t="s">
        <v>31</v>
      </c>
      <c r="M557" t="s">
        <v>23</v>
      </c>
      <c r="N557" t="s">
        <v>93</v>
      </c>
      <c r="O557" t="s">
        <v>44</v>
      </c>
    </row>
    <row r="558" spans="1:15" x14ac:dyDescent="0.35">
      <c r="A558">
        <v>939679</v>
      </c>
      <c r="B558" t="s">
        <v>15</v>
      </c>
      <c r="C558" t="s">
        <v>16</v>
      </c>
      <c r="D558">
        <v>41</v>
      </c>
      <c r="E558" t="s">
        <v>17</v>
      </c>
      <c r="F558" s="1">
        <v>42457.685416666667</v>
      </c>
      <c r="G558" t="s">
        <v>40</v>
      </c>
      <c r="H558" t="s">
        <v>51</v>
      </c>
      <c r="I558" t="s">
        <v>936</v>
      </c>
      <c r="J558">
        <v>16</v>
      </c>
      <c r="K558" t="s">
        <v>21</v>
      </c>
      <c r="L558" t="s">
        <v>31</v>
      </c>
      <c r="M558" t="s">
        <v>23</v>
      </c>
      <c r="N558" t="s">
        <v>93</v>
      </c>
      <c r="O558" t="s">
        <v>44</v>
      </c>
    </row>
    <row r="559" spans="1:15" x14ac:dyDescent="0.35">
      <c r="A559">
        <v>939679</v>
      </c>
      <c r="B559" t="s">
        <v>15</v>
      </c>
      <c r="C559" t="s">
        <v>16</v>
      </c>
      <c r="D559">
        <v>41</v>
      </c>
      <c r="E559" t="s">
        <v>17</v>
      </c>
      <c r="F559" s="1">
        <v>42453.950694444444</v>
      </c>
      <c r="G559" t="s">
        <v>196</v>
      </c>
      <c r="H559" t="s">
        <v>66</v>
      </c>
      <c r="I559" t="s">
        <v>937</v>
      </c>
      <c r="J559">
        <v>22</v>
      </c>
      <c r="K559" t="s">
        <v>63</v>
      </c>
      <c r="L559" t="s">
        <v>31</v>
      </c>
      <c r="M559" t="s">
        <v>23</v>
      </c>
      <c r="N559" t="s">
        <v>93</v>
      </c>
      <c r="O559" t="s">
        <v>104</v>
      </c>
    </row>
    <row r="560" spans="1:15" x14ac:dyDescent="0.35">
      <c r="A560">
        <v>809015</v>
      </c>
      <c r="B560" t="s">
        <v>38</v>
      </c>
      <c r="C560" t="s">
        <v>16</v>
      </c>
      <c r="D560">
        <v>31</v>
      </c>
      <c r="E560" t="s">
        <v>45</v>
      </c>
      <c r="F560" s="1">
        <v>42420.177777777775</v>
      </c>
      <c r="G560" t="s">
        <v>844</v>
      </c>
      <c r="H560" t="s">
        <v>51</v>
      </c>
      <c r="I560" t="s">
        <v>938</v>
      </c>
      <c r="J560">
        <v>4</v>
      </c>
      <c r="K560" t="s">
        <v>68</v>
      </c>
      <c r="L560" t="s">
        <v>50</v>
      </c>
      <c r="M560" t="s">
        <v>57</v>
      </c>
      <c r="N560" t="s">
        <v>24</v>
      </c>
      <c r="O560" t="s">
        <v>58</v>
      </c>
    </row>
    <row r="561" spans="1:15" x14ac:dyDescent="0.35">
      <c r="A561">
        <v>809015</v>
      </c>
      <c r="B561" t="s">
        <v>38</v>
      </c>
      <c r="C561" t="s">
        <v>16</v>
      </c>
      <c r="D561">
        <v>31</v>
      </c>
      <c r="E561" t="s">
        <v>45</v>
      </c>
      <c r="F561" s="1">
        <v>42419.1875</v>
      </c>
      <c r="G561" t="s">
        <v>939</v>
      </c>
      <c r="H561" t="s">
        <v>54</v>
      </c>
      <c r="I561" t="s">
        <v>940</v>
      </c>
      <c r="J561">
        <v>4</v>
      </c>
      <c r="K561" t="s">
        <v>42</v>
      </c>
      <c r="L561" t="s">
        <v>50</v>
      </c>
      <c r="M561" t="s">
        <v>23</v>
      </c>
      <c r="N561" t="s">
        <v>24</v>
      </c>
      <c r="O561" t="s">
        <v>58</v>
      </c>
    </row>
    <row r="562" spans="1:15" x14ac:dyDescent="0.35">
      <c r="A562">
        <v>809015</v>
      </c>
      <c r="B562" t="s">
        <v>38</v>
      </c>
      <c r="C562" t="s">
        <v>16</v>
      </c>
      <c r="D562">
        <v>31</v>
      </c>
      <c r="E562" t="s">
        <v>45</v>
      </c>
      <c r="F562" s="1">
        <v>42405.28402777778</v>
      </c>
      <c r="G562" t="s">
        <v>108</v>
      </c>
      <c r="H562" t="s">
        <v>66</v>
      </c>
      <c r="I562" t="s">
        <v>941</v>
      </c>
      <c r="J562">
        <v>6</v>
      </c>
      <c r="K562" t="s">
        <v>42</v>
      </c>
      <c r="L562" t="s">
        <v>50</v>
      </c>
      <c r="M562" t="s">
        <v>23</v>
      </c>
      <c r="N562" t="s">
        <v>24</v>
      </c>
      <c r="O562" t="s">
        <v>33</v>
      </c>
    </row>
    <row r="563" spans="1:15" x14ac:dyDescent="0.35">
      <c r="A563">
        <v>809015</v>
      </c>
      <c r="B563" t="s">
        <v>38</v>
      </c>
      <c r="C563" t="s">
        <v>16</v>
      </c>
      <c r="D563">
        <v>31</v>
      </c>
      <c r="E563" t="s">
        <v>45</v>
      </c>
      <c r="F563" s="1">
        <v>42419.1875</v>
      </c>
      <c r="G563" t="s">
        <v>939</v>
      </c>
      <c r="H563" t="s">
        <v>54</v>
      </c>
      <c r="I563" t="s">
        <v>940</v>
      </c>
      <c r="J563">
        <v>4</v>
      </c>
      <c r="K563" t="s">
        <v>42</v>
      </c>
      <c r="L563" t="s">
        <v>50</v>
      </c>
      <c r="M563" t="s">
        <v>23</v>
      </c>
      <c r="N563" t="s">
        <v>24</v>
      </c>
      <c r="O563" t="s">
        <v>58</v>
      </c>
    </row>
    <row r="564" spans="1:15" x14ac:dyDescent="0.35">
      <c r="A564">
        <v>809015</v>
      </c>
      <c r="B564" t="s">
        <v>38</v>
      </c>
      <c r="C564" t="s">
        <v>16</v>
      </c>
      <c r="D564">
        <v>31</v>
      </c>
      <c r="E564" t="s">
        <v>45</v>
      </c>
      <c r="F564" s="1">
        <v>42424.359027777777</v>
      </c>
      <c r="G564" t="s">
        <v>18</v>
      </c>
      <c r="H564" t="s">
        <v>54</v>
      </c>
      <c r="I564" t="s">
        <v>942</v>
      </c>
      <c r="J564">
        <v>8</v>
      </c>
      <c r="K564" t="s">
        <v>30</v>
      </c>
      <c r="L564" t="s">
        <v>50</v>
      </c>
      <c r="M564" t="s">
        <v>23</v>
      </c>
      <c r="N564" t="s">
        <v>24</v>
      </c>
      <c r="O564" t="s">
        <v>33</v>
      </c>
    </row>
    <row r="565" spans="1:15" x14ac:dyDescent="0.35">
      <c r="A565">
        <v>809015</v>
      </c>
      <c r="B565" t="s">
        <v>38</v>
      </c>
      <c r="C565" t="s">
        <v>16</v>
      </c>
      <c r="D565">
        <v>31</v>
      </c>
      <c r="E565" t="s">
        <v>45</v>
      </c>
      <c r="F565" s="1">
        <v>42399.70416666667</v>
      </c>
      <c r="G565" t="s">
        <v>181</v>
      </c>
      <c r="H565" t="s">
        <v>66</v>
      </c>
      <c r="I565" t="s">
        <v>943</v>
      </c>
      <c r="J565">
        <v>16</v>
      </c>
      <c r="K565" t="s">
        <v>68</v>
      </c>
      <c r="L565" t="s">
        <v>22</v>
      </c>
      <c r="M565" t="s">
        <v>57</v>
      </c>
      <c r="N565" t="s">
        <v>24</v>
      </c>
      <c r="O565" t="s">
        <v>44</v>
      </c>
    </row>
    <row r="566" spans="1:15" x14ac:dyDescent="0.35">
      <c r="A566">
        <v>809015</v>
      </c>
      <c r="B566" t="s">
        <v>38</v>
      </c>
      <c r="C566" t="s">
        <v>16</v>
      </c>
      <c r="D566">
        <v>31</v>
      </c>
      <c r="E566" t="s">
        <v>45</v>
      </c>
      <c r="F566" s="1">
        <v>42398.824999999997</v>
      </c>
      <c r="G566" t="s">
        <v>215</v>
      </c>
      <c r="H566" t="s">
        <v>66</v>
      </c>
      <c r="I566" t="s">
        <v>944</v>
      </c>
      <c r="J566">
        <v>19</v>
      </c>
      <c r="K566" t="s">
        <v>42</v>
      </c>
      <c r="L566" t="s">
        <v>22</v>
      </c>
      <c r="M566" t="s">
        <v>23</v>
      </c>
      <c r="N566" t="s">
        <v>24</v>
      </c>
      <c r="O566" t="s">
        <v>25</v>
      </c>
    </row>
    <row r="567" spans="1:15" x14ac:dyDescent="0.35">
      <c r="A567">
        <v>809015</v>
      </c>
      <c r="B567" t="s">
        <v>38</v>
      </c>
      <c r="C567" t="s">
        <v>16</v>
      </c>
      <c r="D567">
        <v>31</v>
      </c>
      <c r="E567" t="s">
        <v>45</v>
      </c>
      <c r="F567" s="1">
        <v>42397.68472222222</v>
      </c>
      <c r="G567" t="s">
        <v>945</v>
      </c>
      <c r="H567" t="s">
        <v>86</v>
      </c>
      <c r="I567" t="s">
        <v>946</v>
      </c>
      <c r="J567">
        <v>16</v>
      </c>
      <c r="K567" t="s">
        <v>63</v>
      </c>
      <c r="L567" t="s">
        <v>22</v>
      </c>
      <c r="M567" t="s">
        <v>23</v>
      </c>
      <c r="N567" t="s">
        <v>24</v>
      </c>
      <c r="O567" t="s">
        <v>44</v>
      </c>
    </row>
    <row r="568" spans="1:15" x14ac:dyDescent="0.35">
      <c r="A568">
        <v>809015</v>
      </c>
      <c r="B568" t="s">
        <v>38</v>
      </c>
      <c r="C568" t="s">
        <v>16</v>
      </c>
      <c r="D568">
        <v>31</v>
      </c>
      <c r="E568" t="s">
        <v>45</v>
      </c>
      <c r="F568" s="1">
        <v>42406.481944444444</v>
      </c>
      <c r="G568" t="s">
        <v>108</v>
      </c>
      <c r="H568" t="s">
        <v>54</v>
      </c>
      <c r="I568" t="s">
        <v>947</v>
      </c>
      <c r="J568">
        <v>11</v>
      </c>
      <c r="K568" t="s">
        <v>68</v>
      </c>
      <c r="L568" t="s">
        <v>50</v>
      </c>
      <c r="M568" t="s">
        <v>57</v>
      </c>
      <c r="N568" t="s">
        <v>24</v>
      </c>
      <c r="O568" t="s">
        <v>44</v>
      </c>
    </row>
    <row r="569" spans="1:15" x14ac:dyDescent="0.35">
      <c r="A569">
        <v>809015</v>
      </c>
      <c r="B569" t="s">
        <v>38</v>
      </c>
      <c r="C569" t="s">
        <v>16</v>
      </c>
      <c r="D569">
        <v>31</v>
      </c>
      <c r="E569" t="s">
        <v>45</v>
      </c>
      <c r="F569" s="1">
        <v>42423.704861111109</v>
      </c>
      <c r="G569" t="s">
        <v>468</v>
      </c>
      <c r="H569" t="s">
        <v>66</v>
      </c>
      <c r="I569" t="s">
        <v>948</v>
      </c>
      <c r="J569">
        <v>16</v>
      </c>
      <c r="K569" t="s">
        <v>49</v>
      </c>
      <c r="L569" t="s">
        <v>50</v>
      </c>
      <c r="M569" t="s">
        <v>23</v>
      </c>
      <c r="N569" t="s">
        <v>24</v>
      </c>
      <c r="O569" t="s">
        <v>44</v>
      </c>
    </row>
    <row r="570" spans="1:15" x14ac:dyDescent="0.35">
      <c r="A570">
        <v>939680</v>
      </c>
      <c r="B570" t="s">
        <v>15</v>
      </c>
      <c r="C570" t="s">
        <v>39</v>
      </c>
      <c r="D570">
        <v>19</v>
      </c>
      <c r="E570" t="s">
        <v>35</v>
      </c>
      <c r="F570" s="1">
        <v>42453.707638888889</v>
      </c>
      <c r="G570" t="s">
        <v>636</v>
      </c>
      <c r="H570" t="s">
        <v>71</v>
      </c>
      <c r="I570" t="s">
        <v>949</v>
      </c>
      <c r="J570">
        <v>16</v>
      </c>
      <c r="K570" t="s">
        <v>63</v>
      </c>
      <c r="L570" t="s">
        <v>31</v>
      </c>
      <c r="M570" t="s">
        <v>23</v>
      </c>
      <c r="N570" t="s">
        <v>69</v>
      </c>
      <c r="O570" t="s">
        <v>44</v>
      </c>
    </row>
    <row r="571" spans="1:15" x14ac:dyDescent="0.35">
      <c r="A571">
        <v>939680</v>
      </c>
      <c r="B571" t="s">
        <v>15</v>
      </c>
      <c r="C571" t="s">
        <v>39</v>
      </c>
      <c r="D571">
        <v>19</v>
      </c>
      <c r="E571" t="s">
        <v>35</v>
      </c>
      <c r="F571" s="1">
        <v>42453.275000000001</v>
      </c>
      <c r="G571" t="s">
        <v>950</v>
      </c>
      <c r="H571" t="s">
        <v>66</v>
      </c>
      <c r="I571" t="s">
        <v>951</v>
      </c>
      <c r="J571">
        <v>6</v>
      </c>
      <c r="K571" t="s">
        <v>63</v>
      </c>
      <c r="L571" t="s">
        <v>31</v>
      </c>
      <c r="M571" t="s">
        <v>23</v>
      </c>
      <c r="N571" t="s">
        <v>69</v>
      </c>
      <c r="O571" t="s">
        <v>33</v>
      </c>
    </row>
    <row r="572" spans="1:15" x14ac:dyDescent="0.35">
      <c r="A572">
        <v>939680</v>
      </c>
      <c r="B572" t="s">
        <v>15</v>
      </c>
      <c r="C572" t="s">
        <v>39</v>
      </c>
      <c r="D572">
        <v>19</v>
      </c>
      <c r="E572" t="s">
        <v>35</v>
      </c>
      <c r="F572" s="1">
        <v>42457.453472222223</v>
      </c>
      <c r="G572" t="s">
        <v>952</v>
      </c>
      <c r="H572" t="s">
        <v>51</v>
      </c>
      <c r="I572" t="s">
        <v>953</v>
      </c>
      <c r="J572">
        <v>10</v>
      </c>
      <c r="K572" t="s">
        <v>21</v>
      </c>
      <c r="L572" t="s">
        <v>31</v>
      </c>
      <c r="M572" t="s">
        <v>23</v>
      </c>
      <c r="N572" t="s">
        <v>69</v>
      </c>
      <c r="O572" t="s">
        <v>33</v>
      </c>
    </row>
    <row r="573" spans="1:15" x14ac:dyDescent="0.35">
      <c r="A573">
        <v>939680</v>
      </c>
      <c r="B573" t="s">
        <v>15</v>
      </c>
      <c r="C573" t="s">
        <v>39</v>
      </c>
      <c r="D573">
        <v>19</v>
      </c>
      <c r="E573" t="s">
        <v>35</v>
      </c>
      <c r="F573" s="1">
        <v>42456.67083333333</v>
      </c>
      <c r="G573" t="s">
        <v>954</v>
      </c>
      <c r="H573" t="s">
        <v>19</v>
      </c>
      <c r="I573" t="s">
        <v>955</v>
      </c>
      <c r="J573">
        <v>16</v>
      </c>
      <c r="K573" t="s">
        <v>56</v>
      </c>
      <c r="L573" t="s">
        <v>31</v>
      </c>
      <c r="M573" t="s">
        <v>57</v>
      </c>
      <c r="N573" t="s">
        <v>69</v>
      </c>
      <c r="O573" t="s">
        <v>44</v>
      </c>
    </row>
    <row r="574" spans="1:15" x14ac:dyDescent="0.35">
      <c r="A574">
        <v>939680</v>
      </c>
      <c r="B574" t="s">
        <v>15</v>
      </c>
      <c r="C574" t="s">
        <v>39</v>
      </c>
      <c r="D574">
        <v>19</v>
      </c>
      <c r="E574" t="s">
        <v>35</v>
      </c>
      <c r="F574" s="1">
        <v>42456.847222222219</v>
      </c>
      <c r="G574" t="s">
        <v>668</v>
      </c>
      <c r="H574" t="s">
        <v>51</v>
      </c>
      <c r="I574" t="s">
        <v>956</v>
      </c>
      <c r="J574">
        <v>20</v>
      </c>
      <c r="K574" t="s">
        <v>56</v>
      </c>
      <c r="L574" t="s">
        <v>31</v>
      </c>
      <c r="M574" t="s">
        <v>57</v>
      </c>
      <c r="N574" t="s">
        <v>69</v>
      </c>
      <c r="O574" t="s">
        <v>25</v>
      </c>
    </row>
    <row r="575" spans="1:15" x14ac:dyDescent="0.35">
      <c r="A575">
        <v>939680</v>
      </c>
      <c r="B575" t="s">
        <v>15</v>
      </c>
      <c r="C575" t="s">
        <v>39</v>
      </c>
      <c r="D575">
        <v>19</v>
      </c>
      <c r="E575" t="s">
        <v>35</v>
      </c>
      <c r="F575" s="1">
        <v>42453.370138888888</v>
      </c>
      <c r="G575" t="s">
        <v>957</v>
      </c>
      <c r="H575" t="s">
        <v>51</v>
      </c>
      <c r="I575" t="s">
        <v>958</v>
      </c>
      <c r="J575">
        <v>8</v>
      </c>
      <c r="K575" t="s">
        <v>63</v>
      </c>
      <c r="L575" t="s">
        <v>31</v>
      </c>
      <c r="M575" t="s">
        <v>23</v>
      </c>
      <c r="N575" t="s">
        <v>69</v>
      </c>
      <c r="O575" t="s">
        <v>33</v>
      </c>
    </row>
    <row r="576" spans="1:15" x14ac:dyDescent="0.35">
      <c r="A576">
        <v>800825</v>
      </c>
      <c r="B576" t="s">
        <v>15</v>
      </c>
      <c r="C576" t="s">
        <v>78</v>
      </c>
      <c r="D576">
        <v>30</v>
      </c>
      <c r="E576" t="s">
        <v>64</v>
      </c>
      <c r="F576" s="1">
        <v>42416.529166666667</v>
      </c>
      <c r="G576" t="s">
        <v>76</v>
      </c>
      <c r="H576" t="s">
        <v>19</v>
      </c>
      <c r="I576" t="s">
        <v>959</v>
      </c>
      <c r="J576">
        <v>12</v>
      </c>
      <c r="K576" t="s">
        <v>49</v>
      </c>
      <c r="L576" t="s">
        <v>50</v>
      </c>
      <c r="M576" t="s">
        <v>23</v>
      </c>
      <c r="N576" t="s">
        <v>24</v>
      </c>
      <c r="O576" t="s">
        <v>44</v>
      </c>
    </row>
    <row r="577" spans="1:15" x14ac:dyDescent="0.35">
      <c r="A577">
        <v>788725</v>
      </c>
      <c r="B577" t="s">
        <v>15</v>
      </c>
      <c r="C577" t="s">
        <v>78</v>
      </c>
      <c r="D577">
        <v>32</v>
      </c>
      <c r="E577" t="s">
        <v>195</v>
      </c>
      <c r="F577" s="1">
        <v>42415.720138888886</v>
      </c>
      <c r="G577" t="s">
        <v>960</v>
      </c>
      <c r="H577" t="s">
        <v>54</v>
      </c>
      <c r="I577" t="s">
        <v>961</v>
      </c>
      <c r="J577">
        <v>17</v>
      </c>
      <c r="K577" t="s">
        <v>21</v>
      </c>
      <c r="L577" t="s">
        <v>50</v>
      </c>
      <c r="M577" t="s">
        <v>23</v>
      </c>
      <c r="N577" t="s">
        <v>24</v>
      </c>
      <c r="O577" t="s">
        <v>25</v>
      </c>
    </row>
    <row r="578" spans="1:15" x14ac:dyDescent="0.35">
      <c r="A578">
        <v>788725</v>
      </c>
      <c r="B578" t="s">
        <v>15</v>
      </c>
      <c r="C578" t="s">
        <v>78</v>
      </c>
      <c r="D578">
        <v>32</v>
      </c>
      <c r="E578" t="s">
        <v>195</v>
      </c>
      <c r="F578" s="1">
        <v>42419.820138888892</v>
      </c>
      <c r="G578" t="s">
        <v>253</v>
      </c>
      <c r="H578" t="s">
        <v>106</v>
      </c>
      <c r="I578" t="s">
        <v>962</v>
      </c>
      <c r="J578">
        <v>19</v>
      </c>
      <c r="K578" t="s">
        <v>42</v>
      </c>
      <c r="L578" t="s">
        <v>50</v>
      </c>
      <c r="M578" t="s">
        <v>23</v>
      </c>
      <c r="N578" t="s">
        <v>24</v>
      </c>
      <c r="O578" t="s">
        <v>25</v>
      </c>
    </row>
    <row r="579" spans="1:15" x14ac:dyDescent="0.35">
      <c r="A579">
        <v>788725</v>
      </c>
      <c r="B579" t="s">
        <v>15</v>
      </c>
      <c r="C579" t="s">
        <v>78</v>
      </c>
      <c r="D579">
        <v>32</v>
      </c>
      <c r="E579" t="s">
        <v>195</v>
      </c>
      <c r="F579" s="1">
        <v>42412.568055555559</v>
      </c>
      <c r="G579" t="s">
        <v>76</v>
      </c>
      <c r="H579" t="s">
        <v>19</v>
      </c>
      <c r="I579" t="s">
        <v>963</v>
      </c>
      <c r="J579">
        <v>13</v>
      </c>
      <c r="K579" t="s">
        <v>42</v>
      </c>
      <c r="L579" t="s">
        <v>50</v>
      </c>
      <c r="M579" t="s">
        <v>23</v>
      </c>
      <c r="N579" t="s">
        <v>24</v>
      </c>
      <c r="O579" t="s">
        <v>44</v>
      </c>
    </row>
    <row r="580" spans="1:15" x14ac:dyDescent="0.35">
      <c r="A580">
        <v>2090538</v>
      </c>
      <c r="B580" t="s">
        <v>15</v>
      </c>
      <c r="C580" t="s">
        <v>34</v>
      </c>
      <c r="D580">
        <v>39</v>
      </c>
      <c r="E580" t="s">
        <v>35</v>
      </c>
      <c r="F580" s="1">
        <v>42459.623611111114</v>
      </c>
      <c r="G580" t="s">
        <v>964</v>
      </c>
      <c r="H580" t="s">
        <v>28</v>
      </c>
      <c r="I580" t="s">
        <v>965</v>
      </c>
      <c r="J580">
        <v>14</v>
      </c>
      <c r="K580" t="s">
        <v>30</v>
      </c>
      <c r="L580" t="s">
        <v>31</v>
      </c>
      <c r="M580" t="s">
        <v>23</v>
      </c>
      <c r="N580" t="s">
        <v>93</v>
      </c>
      <c r="O580" t="s">
        <v>44</v>
      </c>
    </row>
    <row r="581" spans="1:15" x14ac:dyDescent="0.35">
      <c r="A581">
        <v>809018</v>
      </c>
      <c r="B581" t="s">
        <v>15</v>
      </c>
      <c r="C581" t="s">
        <v>78</v>
      </c>
      <c r="D581">
        <v>31</v>
      </c>
      <c r="E581" t="s">
        <v>64</v>
      </c>
      <c r="F581" s="1">
        <v>42417.918749999997</v>
      </c>
      <c r="G581" t="s">
        <v>580</v>
      </c>
      <c r="H581" t="s">
        <v>66</v>
      </c>
      <c r="I581" t="s">
        <v>966</v>
      </c>
      <c r="J581">
        <v>22</v>
      </c>
      <c r="K581" t="s">
        <v>30</v>
      </c>
      <c r="L581" t="s">
        <v>50</v>
      </c>
      <c r="M581" t="s">
        <v>23</v>
      </c>
      <c r="N581" t="s">
        <v>24</v>
      </c>
      <c r="O581" t="s">
        <v>104</v>
      </c>
    </row>
    <row r="582" spans="1:15" x14ac:dyDescent="0.35">
      <c r="A582">
        <v>764405</v>
      </c>
      <c r="B582" t="s">
        <v>15</v>
      </c>
      <c r="C582" t="s">
        <v>78</v>
      </c>
      <c r="D582">
        <v>37</v>
      </c>
      <c r="E582" t="s">
        <v>35</v>
      </c>
      <c r="F582" s="1">
        <v>42412.734027777777</v>
      </c>
      <c r="G582" t="s">
        <v>76</v>
      </c>
      <c r="H582" t="s">
        <v>91</v>
      </c>
      <c r="I582" t="s">
        <v>967</v>
      </c>
      <c r="J582">
        <v>17</v>
      </c>
      <c r="K582" t="s">
        <v>42</v>
      </c>
      <c r="L582" t="s">
        <v>50</v>
      </c>
      <c r="M582" t="s">
        <v>23</v>
      </c>
      <c r="N582" t="s">
        <v>24</v>
      </c>
      <c r="O582" t="s">
        <v>25</v>
      </c>
    </row>
    <row r="583" spans="1:15" x14ac:dyDescent="0.35">
      <c r="A583">
        <v>788727</v>
      </c>
      <c r="B583" t="s">
        <v>15</v>
      </c>
      <c r="C583" t="s">
        <v>16</v>
      </c>
      <c r="D583">
        <v>41</v>
      </c>
      <c r="E583" t="s">
        <v>17</v>
      </c>
      <c r="F583" s="1">
        <v>42374.813194444447</v>
      </c>
      <c r="G583" t="s">
        <v>968</v>
      </c>
      <c r="H583" t="s">
        <v>86</v>
      </c>
      <c r="I583" t="s">
        <v>969</v>
      </c>
      <c r="J583">
        <v>19</v>
      </c>
      <c r="K583" t="s">
        <v>49</v>
      </c>
      <c r="L583" t="s">
        <v>22</v>
      </c>
      <c r="M583" t="s">
        <v>23</v>
      </c>
      <c r="N583" t="s">
        <v>93</v>
      </c>
      <c r="O583" t="s">
        <v>25</v>
      </c>
    </row>
    <row r="584" spans="1:15" x14ac:dyDescent="0.35">
      <c r="A584">
        <v>788727</v>
      </c>
      <c r="B584" t="s">
        <v>15</v>
      </c>
      <c r="C584" t="s">
        <v>16</v>
      </c>
      <c r="D584">
        <v>41</v>
      </c>
      <c r="E584" t="s">
        <v>17</v>
      </c>
      <c r="F584" s="1">
        <v>42379.743750000001</v>
      </c>
      <c r="G584" t="s">
        <v>817</v>
      </c>
      <c r="H584" t="s">
        <v>66</v>
      </c>
      <c r="I584" t="s">
        <v>970</v>
      </c>
      <c r="J584">
        <v>17</v>
      </c>
      <c r="K584" t="s">
        <v>56</v>
      </c>
      <c r="L584" t="s">
        <v>22</v>
      </c>
      <c r="M584" t="s">
        <v>57</v>
      </c>
      <c r="N584" t="s">
        <v>93</v>
      </c>
      <c r="O584" t="s">
        <v>25</v>
      </c>
    </row>
    <row r="585" spans="1:15" x14ac:dyDescent="0.35">
      <c r="A585">
        <v>788727</v>
      </c>
      <c r="B585" t="s">
        <v>15</v>
      </c>
      <c r="C585" t="s">
        <v>16</v>
      </c>
      <c r="D585">
        <v>41</v>
      </c>
      <c r="E585" t="s">
        <v>17</v>
      </c>
      <c r="F585" s="1">
        <v>42383.418749999997</v>
      </c>
      <c r="G585" t="s">
        <v>560</v>
      </c>
      <c r="H585" t="s">
        <v>71</v>
      </c>
      <c r="I585" t="s">
        <v>971</v>
      </c>
      <c r="J585">
        <v>10</v>
      </c>
      <c r="K585" t="s">
        <v>63</v>
      </c>
      <c r="L585" t="s">
        <v>22</v>
      </c>
      <c r="M585" t="s">
        <v>23</v>
      </c>
      <c r="N585" t="s">
        <v>93</v>
      </c>
      <c r="O585" t="s">
        <v>33</v>
      </c>
    </row>
    <row r="586" spans="1:15" x14ac:dyDescent="0.35">
      <c r="A586">
        <v>788727</v>
      </c>
      <c r="B586" t="s">
        <v>15</v>
      </c>
      <c r="C586" t="s">
        <v>16</v>
      </c>
      <c r="D586">
        <v>41</v>
      </c>
      <c r="E586" t="s">
        <v>17</v>
      </c>
      <c r="F586" s="1">
        <v>42392.421527777777</v>
      </c>
      <c r="G586" t="s">
        <v>76</v>
      </c>
      <c r="H586" t="s">
        <v>71</v>
      </c>
      <c r="I586" t="s">
        <v>972</v>
      </c>
      <c r="J586">
        <v>10</v>
      </c>
      <c r="K586" t="s">
        <v>68</v>
      </c>
      <c r="L586" t="s">
        <v>22</v>
      </c>
      <c r="M586" t="s">
        <v>57</v>
      </c>
      <c r="N586" t="s">
        <v>93</v>
      </c>
      <c r="O586" t="s">
        <v>33</v>
      </c>
    </row>
    <row r="587" spans="1:15" x14ac:dyDescent="0.35">
      <c r="A587">
        <v>771888</v>
      </c>
      <c r="B587" t="s">
        <v>15</v>
      </c>
      <c r="C587" t="s">
        <v>16</v>
      </c>
      <c r="D587">
        <v>41</v>
      </c>
      <c r="E587" t="s">
        <v>45</v>
      </c>
      <c r="F587" s="1">
        <v>42425.674305555556</v>
      </c>
      <c r="G587" t="s">
        <v>577</v>
      </c>
      <c r="H587" t="s">
        <v>54</v>
      </c>
      <c r="I587" t="s">
        <v>973</v>
      </c>
      <c r="J587">
        <v>16</v>
      </c>
      <c r="K587" t="s">
        <v>63</v>
      </c>
      <c r="L587" t="s">
        <v>50</v>
      </c>
      <c r="M587" t="s">
        <v>23</v>
      </c>
      <c r="N587" t="s">
        <v>93</v>
      </c>
      <c r="O587" t="s">
        <v>44</v>
      </c>
    </row>
    <row r="588" spans="1:15" x14ac:dyDescent="0.35">
      <c r="A588">
        <v>788728</v>
      </c>
      <c r="B588" t="s">
        <v>15</v>
      </c>
      <c r="C588" t="s">
        <v>78</v>
      </c>
      <c r="D588">
        <v>35</v>
      </c>
      <c r="E588" t="s">
        <v>35</v>
      </c>
      <c r="F588" s="1">
        <v>42444.373611111114</v>
      </c>
      <c r="G588" t="s">
        <v>314</v>
      </c>
      <c r="H588" t="s">
        <v>28</v>
      </c>
      <c r="I588" t="s">
        <v>974</v>
      </c>
      <c r="J588">
        <v>8</v>
      </c>
      <c r="K588" t="s">
        <v>49</v>
      </c>
      <c r="L588" t="s">
        <v>31</v>
      </c>
      <c r="M588" t="s">
        <v>23</v>
      </c>
      <c r="N588" t="s">
        <v>24</v>
      </c>
      <c r="O588" t="s">
        <v>33</v>
      </c>
    </row>
    <row r="589" spans="1:15" x14ac:dyDescent="0.35">
      <c r="A589">
        <v>779471</v>
      </c>
      <c r="B589" t="s">
        <v>15</v>
      </c>
      <c r="C589" t="s">
        <v>78</v>
      </c>
      <c r="D589">
        <v>28</v>
      </c>
      <c r="E589" t="s">
        <v>45</v>
      </c>
      <c r="F589" s="1">
        <v>42410.276388888888</v>
      </c>
      <c r="G589" t="s">
        <v>975</v>
      </c>
      <c r="H589" t="s">
        <v>51</v>
      </c>
      <c r="I589" t="s">
        <v>976</v>
      </c>
      <c r="J589">
        <v>6</v>
      </c>
      <c r="K589" t="s">
        <v>30</v>
      </c>
      <c r="L589" t="s">
        <v>50</v>
      </c>
      <c r="M589" t="s">
        <v>23</v>
      </c>
      <c r="N589" t="s">
        <v>69</v>
      </c>
      <c r="O589" t="s">
        <v>33</v>
      </c>
    </row>
    <row r="590" spans="1:15" x14ac:dyDescent="0.35">
      <c r="A590">
        <v>809021</v>
      </c>
      <c r="B590" t="s">
        <v>15</v>
      </c>
      <c r="C590" t="s">
        <v>78</v>
      </c>
      <c r="D590">
        <v>41</v>
      </c>
      <c r="E590" t="s">
        <v>35</v>
      </c>
      <c r="F590" s="1">
        <v>42419.894444444442</v>
      </c>
      <c r="G590" t="s">
        <v>174</v>
      </c>
      <c r="H590" t="s">
        <v>71</v>
      </c>
      <c r="I590" t="s">
        <v>977</v>
      </c>
      <c r="J590">
        <v>21</v>
      </c>
      <c r="K590" t="s">
        <v>42</v>
      </c>
      <c r="L590" t="s">
        <v>50</v>
      </c>
      <c r="M590" t="s">
        <v>23</v>
      </c>
      <c r="N590" t="s">
        <v>93</v>
      </c>
      <c r="O590" t="s">
        <v>25</v>
      </c>
    </row>
    <row r="591" spans="1:15" x14ac:dyDescent="0.35">
      <c r="A591">
        <v>820442</v>
      </c>
      <c r="B591" t="s">
        <v>15</v>
      </c>
      <c r="C591" t="s">
        <v>39</v>
      </c>
      <c r="D591">
        <v>54</v>
      </c>
      <c r="E591" t="s">
        <v>35</v>
      </c>
      <c r="F591" s="1">
        <v>42427.413888888892</v>
      </c>
      <c r="G591" t="s">
        <v>160</v>
      </c>
      <c r="H591" t="s">
        <v>86</v>
      </c>
      <c r="I591" t="s">
        <v>978</v>
      </c>
      <c r="J591">
        <v>9</v>
      </c>
      <c r="K591" t="s">
        <v>68</v>
      </c>
      <c r="L591" t="s">
        <v>50</v>
      </c>
      <c r="M591" t="s">
        <v>57</v>
      </c>
      <c r="N591" t="s">
        <v>43</v>
      </c>
      <c r="O591" t="s">
        <v>33</v>
      </c>
    </row>
    <row r="592" spans="1:15" x14ac:dyDescent="0.35">
      <c r="A592">
        <v>2425739</v>
      </c>
      <c r="B592" t="s">
        <v>15</v>
      </c>
      <c r="C592" t="s">
        <v>16</v>
      </c>
      <c r="D592">
        <v>54</v>
      </c>
      <c r="E592" t="s">
        <v>35</v>
      </c>
      <c r="F592" s="1">
        <v>42455.197916666664</v>
      </c>
      <c r="G592" t="s">
        <v>979</v>
      </c>
      <c r="H592" t="s">
        <v>86</v>
      </c>
      <c r="I592" t="s">
        <v>980</v>
      </c>
      <c r="J592">
        <v>4</v>
      </c>
      <c r="K592" t="s">
        <v>68</v>
      </c>
      <c r="L592" t="s">
        <v>31</v>
      </c>
      <c r="M592" t="s">
        <v>57</v>
      </c>
      <c r="N592" t="s">
        <v>43</v>
      </c>
      <c r="O592" t="s">
        <v>58</v>
      </c>
    </row>
    <row r="593" spans="1:15" x14ac:dyDescent="0.35">
      <c r="A593">
        <v>771889</v>
      </c>
      <c r="B593" t="s">
        <v>15</v>
      </c>
      <c r="C593" t="s">
        <v>78</v>
      </c>
      <c r="D593">
        <v>46</v>
      </c>
      <c r="E593" t="s">
        <v>45</v>
      </c>
      <c r="F593" s="1">
        <v>42396.654861111114</v>
      </c>
      <c r="G593" t="s">
        <v>253</v>
      </c>
      <c r="H593" t="s">
        <v>106</v>
      </c>
      <c r="I593" t="s">
        <v>981</v>
      </c>
      <c r="J593">
        <v>15</v>
      </c>
      <c r="K593" t="s">
        <v>30</v>
      </c>
      <c r="L593" t="s">
        <v>22</v>
      </c>
      <c r="M593" t="s">
        <v>23</v>
      </c>
      <c r="N593" t="s">
        <v>93</v>
      </c>
      <c r="O593" t="s">
        <v>44</v>
      </c>
    </row>
    <row r="594" spans="1:15" x14ac:dyDescent="0.35">
      <c r="A594">
        <v>771889</v>
      </c>
      <c r="B594" t="s">
        <v>15</v>
      </c>
      <c r="C594" t="s">
        <v>78</v>
      </c>
      <c r="D594">
        <v>46</v>
      </c>
      <c r="E594" t="s">
        <v>45</v>
      </c>
      <c r="F594" s="1">
        <v>42390.619444444441</v>
      </c>
      <c r="G594" t="s">
        <v>982</v>
      </c>
      <c r="H594" t="s">
        <v>106</v>
      </c>
      <c r="I594" t="s">
        <v>983</v>
      </c>
      <c r="J594">
        <v>14</v>
      </c>
      <c r="K594" t="s">
        <v>63</v>
      </c>
      <c r="L594" t="s">
        <v>22</v>
      </c>
      <c r="M594" t="s">
        <v>23</v>
      </c>
      <c r="N594" t="s">
        <v>93</v>
      </c>
      <c r="O594" t="s">
        <v>44</v>
      </c>
    </row>
    <row r="595" spans="1:15" x14ac:dyDescent="0.35">
      <c r="A595">
        <v>793662</v>
      </c>
      <c r="B595" t="s">
        <v>15</v>
      </c>
      <c r="C595" t="s">
        <v>16</v>
      </c>
      <c r="D595">
        <v>26</v>
      </c>
      <c r="E595" t="s">
        <v>17</v>
      </c>
      <c r="F595" s="1">
        <v>42400.45416666667</v>
      </c>
      <c r="G595" t="s">
        <v>984</v>
      </c>
      <c r="H595" t="s">
        <v>91</v>
      </c>
      <c r="I595" t="s">
        <v>985</v>
      </c>
      <c r="J595">
        <v>10</v>
      </c>
      <c r="K595" t="s">
        <v>56</v>
      </c>
      <c r="L595" t="s">
        <v>22</v>
      </c>
      <c r="M595" t="s">
        <v>57</v>
      </c>
      <c r="N595" t="s">
        <v>69</v>
      </c>
      <c r="O595" t="s">
        <v>33</v>
      </c>
    </row>
    <row r="596" spans="1:15" x14ac:dyDescent="0.35">
      <c r="A596">
        <v>793662</v>
      </c>
      <c r="B596" t="s">
        <v>15</v>
      </c>
      <c r="C596" t="s">
        <v>16</v>
      </c>
      <c r="D596">
        <v>26</v>
      </c>
      <c r="E596" t="s">
        <v>17</v>
      </c>
      <c r="F596" s="1">
        <v>42398.646527777775</v>
      </c>
      <c r="G596" t="s">
        <v>384</v>
      </c>
      <c r="H596" t="s">
        <v>54</v>
      </c>
      <c r="I596" t="s">
        <v>986</v>
      </c>
      <c r="J596">
        <v>15</v>
      </c>
      <c r="K596" t="s">
        <v>42</v>
      </c>
      <c r="L596" t="s">
        <v>22</v>
      </c>
      <c r="M596" t="s">
        <v>23</v>
      </c>
      <c r="N596" t="s">
        <v>69</v>
      </c>
      <c r="O596" t="s">
        <v>44</v>
      </c>
    </row>
    <row r="597" spans="1:15" x14ac:dyDescent="0.35">
      <c r="A597">
        <v>793662</v>
      </c>
      <c r="B597" t="s">
        <v>15</v>
      </c>
      <c r="C597" t="s">
        <v>16</v>
      </c>
      <c r="D597">
        <v>26</v>
      </c>
      <c r="E597" t="s">
        <v>17</v>
      </c>
      <c r="F597" s="1">
        <v>42460.867361111108</v>
      </c>
      <c r="G597" t="s">
        <v>987</v>
      </c>
      <c r="H597" t="s">
        <v>19</v>
      </c>
      <c r="I597" t="s">
        <v>988</v>
      </c>
      <c r="J597">
        <v>20</v>
      </c>
      <c r="K597" t="s">
        <v>63</v>
      </c>
      <c r="L597" t="s">
        <v>31</v>
      </c>
      <c r="M597" t="s">
        <v>23</v>
      </c>
      <c r="N597" t="s">
        <v>69</v>
      </c>
      <c r="O597" t="s">
        <v>25</v>
      </c>
    </row>
    <row r="598" spans="1:15" x14ac:dyDescent="0.35">
      <c r="A598">
        <v>892554</v>
      </c>
      <c r="B598" t="s">
        <v>15</v>
      </c>
      <c r="C598" t="s">
        <v>16</v>
      </c>
      <c r="D598">
        <v>31</v>
      </c>
      <c r="E598" t="s">
        <v>17</v>
      </c>
      <c r="F598" s="1">
        <v>42451.25277777778</v>
      </c>
      <c r="G598" t="s">
        <v>989</v>
      </c>
      <c r="H598" t="s">
        <v>91</v>
      </c>
      <c r="I598" t="s">
        <v>990</v>
      </c>
      <c r="J598">
        <v>6</v>
      </c>
      <c r="K598" t="s">
        <v>49</v>
      </c>
      <c r="L598" t="s">
        <v>31</v>
      </c>
      <c r="M598" t="s">
        <v>23</v>
      </c>
      <c r="N598" t="s">
        <v>24</v>
      </c>
      <c r="O598" t="s">
        <v>33</v>
      </c>
    </row>
    <row r="599" spans="1:15" x14ac:dyDescent="0.35">
      <c r="A599">
        <v>820443</v>
      </c>
      <c r="B599" t="s">
        <v>15</v>
      </c>
      <c r="C599" t="s">
        <v>78</v>
      </c>
      <c r="D599">
        <v>18</v>
      </c>
      <c r="E599" t="s">
        <v>335</v>
      </c>
      <c r="F599" s="1">
        <v>42434.667361111111</v>
      </c>
      <c r="G599" t="s">
        <v>991</v>
      </c>
      <c r="H599" t="s">
        <v>54</v>
      </c>
      <c r="I599" t="s">
        <v>992</v>
      </c>
      <c r="J599">
        <v>16</v>
      </c>
      <c r="K599" t="s">
        <v>68</v>
      </c>
      <c r="L599" t="s">
        <v>31</v>
      </c>
      <c r="M599" t="s">
        <v>57</v>
      </c>
      <c r="N599" t="s">
        <v>69</v>
      </c>
      <c r="O599" t="s">
        <v>44</v>
      </c>
    </row>
    <row r="600" spans="1:15" x14ac:dyDescent="0.35">
      <c r="A600">
        <v>820443</v>
      </c>
      <c r="B600" t="s">
        <v>15</v>
      </c>
      <c r="C600" t="s">
        <v>78</v>
      </c>
      <c r="D600">
        <v>18</v>
      </c>
      <c r="E600" t="s">
        <v>335</v>
      </c>
      <c r="F600" s="1">
        <v>42427.380555555559</v>
      </c>
      <c r="G600" t="s">
        <v>649</v>
      </c>
      <c r="H600" t="s">
        <v>66</v>
      </c>
      <c r="I600" t="s">
        <v>993</v>
      </c>
      <c r="J600">
        <v>9</v>
      </c>
      <c r="K600" t="s">
        <v>68</v>
      </c>
      <c r="L600" t="s">
        <v>50</v>
      </c>
      <c r="M600" t="s">
        <v>57</v>
      </c>
      <c r="N600" t="s">
        <v>69</v>
      </c>
      <c r="O600" t="s">
        <v>33</v>
      </c>
    </row>
    <row r="601" spans="1:15" x14ac:dyDescent="0.35">
      <c r="A601">
        <v>820443</v>
      </c>
      <c r="B601" t="s">
        <v>15</v>
      </c>
      <c r="C601" t="s">
        <v>78</v>
      </c>
      <c r="D601">
        <v>18</v>
      </c>
      <c r="E601" t="s">
        <v>335</v>
      </c>
      <c r="F601" s="1">
        <v>42428.497916666667</v>
      </c>
      <c r="G601" t="s">
        <v>899</v>
      </c>
      <c r="H601" t="s">
        <v>54</v>
      </c>
      <c r="I601" t="s">
        <v>994</v>
      </c>
      <c r="J601">
        <v>11</v>
      </c>
      <c r="K601" t="s">
        <v>56</v>
      </c>
      <c r="L601" t="s">
        <v>50</v>
      </c>
      <c r="M601" t="s">
        <v>57</v>
      </c>
      <c r="N601" t="s">
        <v>69</v>
      </c>
      <c r="O601" t="s">
        <v>44</v>
      </c>
    </row>
    <row r="602" spans="1:15" x14ac:dyDescent="0.35">
      <c r="A602">
        <v>919220</v>
      </c>
      <c r="B602" t="s">
        <v>15</v>
      </c>
      <c r="C602" t="s">
        <v>16</v>
      </c>
      <c r="D602">
        <v>22</v>
      </c>
      <c r="E602" t="s">
        <v>17</v>
      </c>
      <c r="F602" s="1">
        <v>42457.415277777778</v>
      </c>
      <c r="G602" t="s">
        <v>65</v>
      </c>
      <c r="H602" t="s">
        <v>28</v>
      </c>
      <c r="I602" t="s">
        <v>995</v>
      </c>
      <c r="J602">
        <v>9</v>
      </c>
      <c r="K602" t="s">
        <v>21</v>
      </c>
      <c r="L602" t="s">
        <v>31</v>
      </c>
      <c r="M602" t="s">
        <v>23</v>
      </c>
      <c r="N602" t="s">
        <v>69</v>
      </c>
      <c r="O602" t="s">
        <v>33</v>
      </c>
    </row>
    <row r="603" spans="1:15" x14ac:dyDescent="0.35">
      <c r="A603">
        <v>919222</v>
      </c>
      <c r="B603" t="s">
        <v>15</v>
      </c>
      <c r="C603" t="s">
        <v>78</v>
      </c>
      <c r="D603">
        <v>26</v>
      </c>
      <c r="E603" t="s">
        <v>134</v>
      </c>
      <c r="F603" s="1">
        <v>42455.725694444445</v>
      </c>
      <c r="G603" t="s">
        <v>76</v>
      </c>
      <c r="H603" t="s">
        <v>66</v>
      </c>
      <c r="I603" t="s">
        <v>996</v>
      </c>
      <c r="J603">
        <v>17</v>
      </c>
      <c r="K603" t="s">
        <v>68</v>
      </c>
      <c r="L603" t="s">
        <v>31</v>
      </c>
      <c r="M603" t="s">
        <v>57</v>
      </c>
      <c r="N603" t="s">
        <v>69</v>
      </c>
      <c r="O603" t="s">
        <v>25</v>
      </c>
    </row>
    <row r="604" spans="1:15" x14ac:dyDescent="0.35">
      <c r="A604">
        <v>831788</v>
      </c>
      <c r="B604" t="s">
        <v>15</v>
      </c>
      <c r="C604" t="s">
        <v>16</v>
      </c>
      <c r="D604">
        <v>46</v>
      </c>
      <c r="E604" t="s">
        <v>17</v>
      </c>
      <c r="F604" s="1">
        <v>42435.820833333331</v>
      </c>
      <c r="G604" t="s">
        <v>481</v>
      </c>
      <c r="H604" t="s">
        <v>86</v>
      </c>
      <c r="I604" t="s">
        <v>997</v>
      </c>
      <c r="J604">
        <v>19</v>
      </c>
      <c r="K604" t="s">
        <v>56</v>
      </c>
      <c r="L604" t="s">
        <v>31</v>
      </c>
      <c r="M604" t="s">
        <v>57</v>
      </c>
      <c r="N604" t="s">
        <v>93</v>
      </c>
      <c r="O604" t="s">
        <v>25</v>
      </c>
    </row>
    <row r="605" spans="1:15" x14ac:dyDescent="0.35">
      <c r="A605">
        <v>831788</v>
      </c>
      <c r="B605" t="s">
        <v>15</v>
      </c>
      <c r="C605" t="s">
        <v>16</v>
      </c>
      <c r="D605">
        <v>46</v>
      </c>
      <c r="E605" t="s">
        <v>17</v>
      </c>
      <c r="F605" s="1">
        <v>42435.843055555553</v>
      </c>
      <c r="G605" t="s">
        <v>70</v>
      </c>
      <c r="H605" t="s">
        <v>71</v>
      </c>
      <c r="I605" t="s">
        <v>998</v>
      </c>
      <c r="J605">
        <v>20</v>
      </c>
      <c r="K605" t="s">
        <v>56</v>
      </c>
      <c r="L605" t="s">
        <v>31</v>
      </c>
      <c r="M605" t="s">
        <v>57</v>
      </c>
      <c r="N605" t="s">
        <v>93</v>
      </c>
      <c r="O605" t="s">
        <v>25</v>
      </c>
    </row>
    <row r="606" spans="1:15" x14ac:dyDescent="0.35">
      <c r="A606">
        <v>831788</v>
      </c>
      <c r="B606" t="s">
        <v>15</v>
      </c>
      <c r="C606" t="s">
        <v>16</v>
      </c>
      <c r="D606">
        <v>46</v>
      </c>
      <c r="E606" t="s">
        <v>17</v>
      </c>
      <c r="F606" s="1">
        <v>42435.859027777777</v>
      </c>
      <c r="G606" t="s">
        <v>481</v>
      </c>
      <c r="H606" t="s">
        <v>71</v>
      </c>
      <c r="I606" t="s">
        <v>999</v>
      </c>
      <c r="J606">
        <v>20</v>
      </c>
      <c r="K606" t="s">
        <v>56</v>
      </c>
      <c r="L606" t="s">
        <v>31</v>
      </c>
      <c r="M606" t="s">
        <v>57</v>
      </c>
      <c r="N606" t="s">
        <v>93</v>
      </c>
      <c r="O606" t="s">
        <v>25</v>
      </c>
    </row>
    <row r="607" spans="1:15" x14ac:dyDescent="0.35">
      <c r="A607">
        <v>866231</v>
      </c>
      <c r="B607" t="s">
        <v>15</v>
      </c>
      <c r="C607" t="s">
        <v>16</v>
      </c>
      <c r="D607">
        <v>35</v>
      </c>
      <c r="E607" t="s">
        <v>17</v>
      </c>
      <c r="F607" s="1">
        <v>42434.394444444442</v>
      </c>
      <c r="G607" t="s">
        <v>1000</v>
      </c>
      <c r="H607" t="s">
        <v>28</v>
      </c>
      <c r="I607" t="s">
        <v>1001</v>
      </c>
      <c r="J607">
        <v>9</v>
      </c>
      <c r="K607" t="s">
        <v>68</v>
      </c>
      <c r="L607" t="s">
        <v>31</v>
      </c>
      <c r="M607" t="s">
        <v>57</v>
      </c>
      <c r="N607" t="s">
        <v>24</v>
      </c>
      <c r="O607" t="s">
        <v>33</v>
      </c>
    </row>
    <row r="608" spans="1:15" x14ac:dyDescent="0.35">
      <c r="A608">
        <v>866231</v>
      </c>
      <c r="B608" t="s">
        <v>15</v>
      </c>
      <c r="C608" t="s">
        <v>16</v>
      </c>
      <c r="D608">
        <v>35</v>
      </c>
      <c r="E608" t="s">
        <v>17</v>
      </c>
      <c r="F608" s="1">
        <v>42444.634027777778</v>
      </c>
      <c r="G608" t="s">
        <v>373</v>
      </c>
      <c r="H608" t="s">
        <v>28</v>
      </c>
      <c r="I608" t="s">
        <v>1002</v>
      </c>
      <c r="J608">
        <v>15</v>
      </c>
      <c r="K608" t="s">
        <v>49</v>
      </c>
      <c r="L608" t="s">
        <v>31</v>
      </c>
      <c r="M608" t="s">
        <v>23</v>
      </c>
      <c r="N608" t="s">
        <v>24</v>
      </c>
      <c r="O608" t="s">
        <v>44</v>
      </c>
    </row>
    <row r="609" spans="1:15" x14ac:dyDescent="0.35">
      <c r="A609">
        <v>930066</v>
      </c>
      <c r="B609" t="s">
        <v>15</v>
      </c>
      <c r="C609" t="s">
        <v>34</v>
      </c>
      <c r="D609">
        <v>32</v>
      </c>
      <c r="E609" t="s">
        <v>45</v>
      </c>
      <c r="F609" s="1">
        <v>42458.65347222222</v>
      </c>
      <c r="G609" t="s">
        <v>181</v>
      </c>
      <c r="H609" t="s">
        <v>28</v>
      </c>
      <c r="I609" t="s">
        <v>1003</v>
      </c>
      <c r="J609">
        <v>15</v>
      </c>
      <c r="K609" t="s">
        <v>49</v>
      </c>
      <c r="L609" t="s">
        <v>31</v>
      </c>
      <c r="M609" t="s">
        <v>23</v>
      </c>
      <c r="N609" t="s">
        <v>24</v>
      </c>
      <c r="O609" t="s">
        <v>44</v>
      </c>
    </row>
    <row r="610" spans="1:15" x14ac:dyDescent="0.35">
      <c r="A610">
        <v>892557</v>
      </c>
      <c r="B610" t="s">
        <v>15</v>
      </c>
      <c r="C610" t="s">
        <v>78</v>
      </c>
      <c r="D610">
        <v>20</v>
      </c>
      <c r="E610" t="s">
        <v>35</v>
      </c>
      <c r="F610" s="1">
        <v>42438.566666666666</v>
      </c>
      <c r="G610" t="s">
        <v>1004</v>
      </c>
      <c r="H610" t="s">
        <v>66</v>
      </c>
      <c r="I610" t="s">
        <v>1005</v>
      </c>
      <c r="J610">
        <v>13</v>
      </c>
      <c r="K610" t="s">
        <v>30</v>
      </c>
      <c r="L610" t="s">
        <v>31</v>
      </c>
      <c r="M610" t="s">
        <v>23</v>
      </c>
      <c r="N610" t="s">
        <v>69</v>
      </c>
      <c r="O610" t="s">
        <v>44</v>
      </c>
    </row>
    <row r="611" spans="1:15" x14ac:dyDescent="0.35">
      <c r="A611">
        <v>831789</v>
      </c>
      <c r="B611" t="s">
        <v>15</v>
      </c>
      <c r="C611" t="s">
        <v>16</v>
      </c>
      <c r="D611">
        <v>28</v>
      </c>
      <c r="E611" t="s">
        <v>17</v>
      </c>
      <c r="F611" s="1">
        <v>42432.829861111109</v>
      </c>
      <c r="G611" t="s">
        <v>76</v>
      </c>
      <c r="H611" t="s">
        <v>71</v>
      </c>
      <c r="I611" t="s">
        <v>1006</v>
      </c>
      <c r="J611">
        <v>19</v>
      </c>
      <c r="K611" t="s">
        <v>63</v>
      </c>
      <c r="L611" t="s">
        <v>31</v>
      </c>
      <c r="M611" t="s">
        <v>23</v>
      </c>
      <c r="N611" t="s">
        <v>69</v>
      </c>
      <c r="O611" t="s">
        <v>25</v>
      </c>
    </row>
    <row r="612" spans="1:15" x14ac:dyDescent="0.35">
      <c r="A612">
        <v>831789</v>
      </c>
      <c r="B612" t="s">
        <v>15</v>
      </c>
      <c r="C612" t="s">
        <v>16</v>
      </c>
      <c r="D612">
        <v>28</v>
      </c>
      <c r="E612" t="s">
        <v>17</v>
      </c>
      <c r="F612" s="1">
        <v>42432.956944444442</v>
      </c>
      <c r="G612" t="s">
        <v>1007</v>
      </c>
      <c r="H612" t="s">
        <v>19</v>
      </c>
      <c r="I612" t="s">
        <v>1008</v>
      </c>
      <c r="J612">
        <v>22</v>
      </c>
      <c r="K612" t="s">
        <v>63</v>
      </c>
      <c r="L612" t="s">
        <v>31</v>
      </c>
      <c r="M612" t="s">
        <v>23</v>
      </c>
      <c r="N612" t="s">
        <v>69</v>
      </c>
      <c r="O612" t="s">
        <v>104</v>
      </c>
    </row>
    <row r="613" spans="1:15" x14ac:dyDescent="0.35">
      <c r="A613">
        <v>831789</v>
      </c>
      <c r="B613" t="s">
        <v>15</v>
      </c>
      <c r="C613" t="s">
        <v>16</v>
      </c>
      <c r="D613">
        <v>28</v>
      </c>
      <c r="E613" t="s">
        <v>17</v>
      </c>
      <c r="F613" s="1">
        <v>42433.349305555559</v>
      </c>
      <c r="G613" t="s">
        <v>88</v>
      </c>
      <c r="H613" t="s">
        <v>28</v>
      </c>
      <c r="I613" t="s">
        <v>1009</v>
      </c>
      <c r="J613">
        <v>8</v>
      </c>
      <c r="K613" t="s">
        <v>42</v>
      </c>
      <c r="L613" t="s">
        <v>31</v>
      </c>
      <c r="M613" t="s">
        <v>23</v>
      </c>
      <c r="N613" t="s">
        <v>69</v>
      </c>
      <c r="O613" t="s">
        <v>33</v>
      </c>
    </row>
    <row r="614" spans="1:15" x14ac:dyDescent="0.35">
      <c r="A614">
        <v>831789</v>
      </c>
      <c r="B614" t="s">
        <v>15</v>
      </c>
      <c r="C614" t="s">
        <v>16</v>
      </c>
      <c r="D614">
        <v>28</v>
      </c>
      <c r="E614" t="s">
        <v>17</v>
      </c>
      <c r="F614" s="1">
        <v>42433.896527777775</v>
      </c>
      <c r="G614" t="s">
        <v>1010</v>
      </c>
      <c r="H614" t="s">
        <v>54</v>
      </c>
      <c r="I614" t="s">
        <v>1011</v>
      </c>
      <c r="J614">
        <v>21</v>
      </c>
      <c r="K614" t="s">
        <v>42</v>
      </c>
      <c r="L614" t="s">
        <v>31</v>
      </c>
      <c r="M614" t="s">
        <v>23</v>
      </c>
      <c r="N614" t="s">
        <v>69</v>
      </c>
      <c r="O614" t="s">
        <v>25</v>
      </c>
    </row>
    <row r="615" spans="1:15" x14ac:dyDescent="0.35">
      <c r="A615">
        <v>831789</v>
      </c>
      <c r="B615" t="s">
        <v>15</v>
      </c>
      <c r="C615" t="s">
        <v>16</v>
      </c>
      <c r="D615">
        <v>28</v>
      </c>
      <c r="E615" t="s">
        <v>17</v>
      </c>
      <c r="F615" s="1">
        <v>42434.847222222219</v>
      </c>
      <c r="G615" t="s">
        <v>1012</v>
      </c>
      <c r="H615" t="s">
        <v>51</v>
      </c>
      <c r="I615" t="s">
        <v>1013</v>
      </c>
      <c r="J615">
        <v>20</v>
      </c>
      <c r="K615" t="s">
        <v>68</v>
      </c>
      <c r="L615" t="s">
        <v>31</v>
      </c>
      <c r="M615" t="s">
        <v>57</v>
      </c>
      <c r="N615" t="s">
        <v>69</v>
      </c>
      <c r="O615" t="s">
        <v>25</v>
      </c>
    </row>
    <row r="616" spans="1:15" x14ac:dyDescent="0.35">
      <c r="A616">
        <v>892558</v>
      </c>
      <c r="B616" t="s">
        <v>38</v>
      </c>
      <c r="C616" t="s">
        <v>78</v>
      </c>
      <c r="D616">
        <v>29</v>
      </c>
      <c r="E616" t="s">
        <v>35</v>
      </c>
      <c r="F616" s="1">
        <v>42453.710416666669</v>
      </c>
      <c r="G616" t="s">
        <v>76</v>
      </c>
      <c r="H616" t="s">
        <v>66</v>
      </c>
      <c r="I616" t="s">
        <v>1014</v>
      </c>
      <c r="J616">
        <v>17</v>
      </c>
      <c r="K616" t="s">
        <v>63</v>
      </c>
      <c r="L616" t="s">
        <v>31</v>
      </c>
      <c r="M616" t="s">
        <v>23</v>
      </c>
      <c r="N616" t="s">
        <v>24</v>
      </c>
      <c r="O616" t="s">
        <v>25</v>
      </c>
    </row>
    <row r="617" spans="1:15" x14ac:dyDescent="0.35">
      <c r="A617">
        <v>892558</v>
      </c>
      <c r="B617" t="s">
        <v>38</v>
      </c>
      <c r="C617" t="s">
        <v>78</v>
      </c>
      <c r="D617">
        <v>29</v>
      </c>
      <c r="E617" t="s">
        <v>35</v>
      </c>
      <c r="F617" s="1">
        <v>42449.643750000003</v>
      </c>
      <c r="G617" t="s">
        <v>88</v>
      </c>
      <c r="H617" t="s">
        <v>47</v>
      </c>
      <c r="I617" t="s">
        <v>1015</v>
      </c>
      <c r="J617">
        <v>15</v>
      </c>
      <c r="K617" t="s">
        <v>56</v>
      </c>
      <c r="L617" t="s">
        <v>31</v>
      </c>
      <c r="M617" t="s">
        <v>57</v>
      </c>
      <c r="N617" t="s">
        <v>24</v>
      </c>
      <c r="O617" t="s">
        <v>44</v>
      </c>
    </row>
    <row r="618" spans="1:15" x14ac:dyDescent="0.35">
      <c r="A618">
        <v>930067</v>
      </c>
      <c r="B618" t="s">
        <v>15</v>
      </c>
      <c r="C618" t="s">
        <v>34</v>
      </c>
      <c r="D618">
        <v>32</v>
      </c>
      <c r="E618" t="s">
        <v>64</v>
      </c>
      <c r="F618" s="1">
        <v>42459.367361111108</v>
      </c>
      <c r="G618" t="s">
        <v>493</v>
      </c>
      <c r="H618" t="s">
        <v>28</v>
      </c>
      <c r="I618" t="s">
        <v>1016</v>
      </c>
      <c r="J618">
        <v>8</v>
      </c>
      <c r="K618" t="s">
        <v>30</v>
      </c>
      <c r="L618" t="s">
        <v>31</v>
      </c>
      <c r="M618" t="s">
        <v>23</v>
      </c>
      <c r="N618" t="s">
        <v>24</v>
      </c>
      <c r="O618" t="s">
        <v>33</v>
      </c>
    </row>
    <row r="619" spans="1:15" x14ac:dyDescent="0.35">
      <c r="A619">
        <v>868982</v>
      </c>
      <c r="B619" t="s">
        <v>15</v>
      </c>
      <c r="C619" t="s">
        <v>78</v>
      </c>
      <c r="D619">
        <v>23</v>
      </c>
      <c r="E619" t="s">
        <v>35</v>
      </c>
      <c r="F619" s="1">
        <v>42441.368055555555</v>
      </c>
      <c r="G619" t="s">
        <v>215</v>
      </c>
      <c r="H619" t="s">
        <v>86</v>
      </c>
      <c r="I619" t="s">
        <v>1017</v>
      </c>
      <c r="J619">
        <v>8</v>
      </c>
      <c r="K619" t="s">
        <v>68</v>
      </c>
      <c r="L619" t="s">
        <v>31</v>
      </c>
      <c r="M619" t="s">
        <v>57</v>
      </c>
      <c r="N619" t="s">
        <v>69</v>
      </c>
      <c r="O619" t="s">
        <v>33</v>
      </c>
    </row>
    <row r="620" spans="1:15" x14ac:dyDescent="0.35">
      <c r="A620">
        <v>809028</v>
      </c>
      <c r="B620" t="s">
        <v>15</v>
      </c>
      <c r="C620" t="s">
        <v>39</v>
      </c>
      <c r="D620">
        <v>32</v>
      </c>
      <c r="E620" t="s">
        <v>64</v>
      </c>
      <c r="F620" s="1">
        <v>42414.134722222225</v>
      </c>
      <c r="G620" t="s">
        <v>489</v>
      </c>
      <c r="H620" t="s">
        <v>97</v>
      </c>
      <c r="I620" t="s">
        <v>1018</v>
      </c>
      <c r="J620">
        <v>3</v>
      </c>
      <c r="K620" t="s">
        <v>56</v>
      </c>
      <c r="L620" t="s">
        <v>50</v>
      </c>
      <c r="M620" t="s">
        <v>57</v>
      </c>
      <c r="N620" t="s">
        <v>24</v>
      </c>
      <c r="O620" t="s">
        <v>58</v>
      </c>
    </row>
    <row r="621" spans="1:15" x14ac:dyDescent="0.35">
      <c r="A621">
        <v>809028</v>
      </c>
      <c r="B621" t="s">
        <v>15</v>
      </c>
      <c r="C621" t="s">
        <v>39</v>
      </c>
      <c r="D621">
        <v>32</v>
      </c>
      <c r="E621" t="s">
        <v>64</v>
      </c>
      <c r="F621" s="1">
        <v>42418.388888888891</v>
      </c>
      <c r="G621" t="s">
        <v>76</v>
      </c>
      <c r="H621" t="s">
        <v>71</v>
      </c>
      <c r="I621" t="s">
        <v>1019</v>
      </c>
      <c r="J621">
        <v>9</v>
      </c>
      <c r="K621" t="s">
        <v>63</v>
      </c>
      <c r="L621" t="s">
        <v>50</v>
      </c>
      <c r="M621" t="s">
        <v>23</v>
      </c>
      <c r="N621" t="s">
        <v>24</v>
      </c>
      <c r="O621" t="s">
        <v>33</v>
      </c>
    </row>
    <row r="622" spans="1:15" x14ac:dyDescent="0.35">
      <c r="A622">
        <v>1445</v>
      </c>
      <c r="B622" t="s">
        <v>15</v>
      </c>
      <c r="C622" t="s">
        <v>16</v>
      </c>
      <c r="D622">
        <v>13</v>
      </c>
      <c r="E622" t="s">
        <v>860</v>
      </c>
      <c r="F622" s="1">
        <v>42425.442361111112</v>
      </c>
      <c r="G622" t="s">
        <v>484</v>
      </c>
      <c r="H622" t="s">
        <v>86</v>
      </c>
      <c r="I622" t="s">
        <v>1020</v>
      </c>
      <c r="J622">
        <v>10</v>
      </c>
      <c r="K622" t="s">
        <v>63</v>
      </c>
      <c r="L622" t="s">
        <v>50</v>
      </c>
      <c r="M622" t="s">
        <v>23</v>
      </c>
      <c r="N622" t="s">
        <v>32</v>
      </c>
      <c r="O622" t="s">
        <v>33</v>
      </c>
    </row>
    <row r="623" spans="1:15" x14ac:dyDescent="0.35">
      <c r="A623">
        <v>1445</v>
      </c>
      <c r="B623" t="s">
        <v>15</v>
      </c>
      <c r="C623" t="s">
        <v>16</v>
      </c>
      <c r="D623">
        <v>13</v>
      </c>
      <c r="E623" t="s">
        <v>860</v>
      </c>
      <c r="F623" s="1">
        <v>42435.657638888886</v>
      </c>
      <c r="G623" t="s">
        <v>960</v>
      </c>
      <c r="H623" t="s">
        <v>116</v>
      </c>
      <c r="I623" t="s">
        <v>1021</v>
      </c>
      <c r="J623">
        <v>15</v>
      </c>
      <c r="K623" t="s">
        <v>56</v>
      </c>
      <c r="L623" t="s">
        <v>31</v>
      </c>
      <c r="M623" t="s">
        <v>57</v>
      </c>
      <c r="N623" t="s">
        <v>32</v>
      </c>
      <c r="O623" t="s">
        <v>44</v>
      </c>
    </row>
    <row r="624" spans="1:15" x14ac:dyDescent="0.35">
      <c r="A624">
        <v>2023963</v>
      </c>
      <c r="B624" t="s">
        <v>15</v>
      </c>
      <c r="C624" t="s">
        <v>34</v>
      </c>
      <c r="D624">
        <v>32</v>
      </c>
      <c r="E624" t="s">
        <v>64</v>
      </c>
      <c r="F624" s="1">
        <v>42433.81527777778</v>
      </c>
      <c r="G624" t="s">
        <v>76</v>
      </c>
      <c r="H624" t="s">
        <v>86</v>
      </c>
      <c r="I624" t="s">
        <v>1022</v>
      </c>
      <c r="J624">
        <v>19</v>
      </c>
      <c r="K624" t="s">
        <v>42</v>
      </c>
      <c r="L624" t="s">
        <v>31</v>
      </c>
      <c r="M624" t="s">
        <v>23</v>
      </c>
      <c r="N624" t="s">
        <v>24</v>
      </c>
      <c r="O624" t="s">
        <v>25</v>
      </c>
    </row>
    <row r="625" spans="1:15" x14ac:dyDescent="0.35">
      <c r="A625">
        <v>880319</v>
      </c>
      <c r="B625" t="s">
        <v>26</v>
      </c>
      <c r="C625" t="s">
        <v>26</v>
      </c>
      <c r="D625">
        <v>0</v>
      </c>
      <c r="E625" t="s">
        <v>26</v>
      </c>
      <c r="F625" s="1">
        <v>42459.463194444441</v>
      </c>
      <c r="G625" t="s">
        <v>1023</v>
      </c>
      <c r="H625" t="s">
        <v>28</v>
      </c>
      <c r="I625" t="s">
        <v>1024</v>
      </c>
      <c r="J625">
        <v>11</v>
      </c>
      <c r="K625" t="s">
        <v>30</v>
      </c>
      <c r="L625" t="s">
        <v>31</v>
      </c>
      <c r="M625" t="s">
        <v>23</v>
      </c>
      <c r="N625" t="s">
        <v>32</v>
      </c>
      <c r="O625" t="s">
        <v>44</v>
      </c>
    </row>
    <row r="626" spans="1:15" x14ac:dyDescent="0.35">
      <c r="A626">
        <v>868986</v>
      </c>
      <c r="B626" t="s">
        <v>15</v>
      </c>
      <c r="C626" t="s">
        <v>39</v>
      </c>
      <c r="D626">
        <v>38</v>
      </c>
      <c r="E626" t="s">
        <v>134</v>
      </c>
      <c r="F626" s="1">
        <v>42444.3125</v>
      </c>
      <c r="G626" t="s">
        <v>76</v>
      </c>
      <c r="H626" t="s">
        <v>116</v>
      </c>
      <c r="I626" t="s">
        <v>1025</v>
      </c>
      <c r="J626">
        <v>7</v>
      </c>
      <c r="K626" t="s">
        <v>49</v>
      </c>
      <c r="L626" t="s">
        <v>31</v>
      </c>
      <c r="M626" t="s">
        <v>23</v>
      </c>
      <c r="N626" t="s">
        <v>24</v>
      </c>
      <c r="O626" t="s">
        <v>33</v>
      </c>
    </row>
    <row r="627" spans="1:15" x14ac:dyDescent="0.35">
      <c r="A627">
        <v>868986</v>
      </c>
      <c r="B627" t="s">
        <v>15</v>
      </c>
      <c r="C627" t="s">
        <v>39</v>
      </c>
      <c r="D627">
        <v>38</v>
      </c>
      <c r="E627" t="s">
        <v>134</v>
      </c>
      <c r="F627" s="1">
        <v>42444.578472222223</v>
      </c>
      <c r="G627" t="s">
        <v>1026</v>
      </c>
      <c r="H627" t="s">
        <v>28</v>
      </c>
      <c r="I627" t="s">
        <v>1027</v>
      </c>
      <c r="J627">
        <v>13</v>
      </c>
      <c r="K627" t="s">
        <v>49</v>
      </c>
      <c r="L627" t="s">
        <v>31</v>
      </c>
      <c r="M627" t="s">
        <v>23</v>
      </c>
      <c r="N627" t="s">
        <v>24</v>
      </c>
      <c r="O627" t="s">
        <v>44</v>
      </c>
    </row>
    <row r="628" spans="1:15" x14ac:dyDescent="0.35">
      <c r="A628">
        <v>939694</v>
      </c>
      <c r="B628" t="s">
        <v>15</v>
      </c>
      <c r="C628" t="s">
        <v>34</v>
      </c>
      <c r="D628">
        <v>30</v>
      </c>
      <c r="E628" t="s">
        <v>35</v>
      </c>
      <c r="F628" s="1">
        <v>42452.788194444445</v>
      </c>
      <c r="G628" t="s">
        <v>567</v>
      </c>
      <c r="H628" t="s">
        <v>116</v>
      </c>
      <c r="I628" t="s">
        <v>1028</v>
      </c>
      <c r="J628">
        <v>18</v>
      </c>
      <c r="K628" t="s">
        <v>30</v>
      </c>
      <c r="L628" t="s">
        <v>31</v>
      </c>
      <c r="M628" t="s">
        <v>23</v>
      </c>
      <c r="N628" t="s">
        <v>24</v>
      </c>
      <c r="O628" t="s">
        <v>25</v>
      </c>
    </row>
    <row r="629" spans="1:15" x14ac:dyDescent="0.35">
      <c r="A629">
        <v>939694</v>
      </c>
      <c r="B629" t="s">
        <v>15</v>
      </c>
      <c r="C629" t="s">
        <v>34</v>
      </c>
      <c r="D629">
        <v>30</v>
      </c>
      <c r="E629" t="s">
        <v>35</v>
      </c>
      <c r="F629" s="1">
        <v>42456.51666666667</v>
      </c>
      <c r="G629" t="s">
        <v>495</v>
      </c>
      <c r="H629" t="s">
        <v>86</v>
      </c>
      <c r="I629" t="s">
        <v>1029</v>
      </c>
      <c r="J629">
        <v>12</v>
      </c>
      <c r="K629" t="s">
        <v>56</v>
      </c>
      <c r="L629" t="s">
        <v>31</v>
      </c>
      <c r="M629" t="s">
        <v>57</v>
      </c>
      <c r="N629" t="s">
        <v>24</v>
      </c>
      <c r="O629" t="s">
        <v>44</v>
      </c>
    </row>
    <row r="630" spans="1:15" x14ac:dyDescent="0.35">
      <c r="A630">
        <v>370637</v>
      </c>
      <c r="B630" t="s">
        <v>15</v>
      </c>
      <c r="C630" t="s">
        <v>16</v>
      </c>
      <c r="D630">
        <v>34</v>
      </c>
      <c r="E630" t="s">
        <v>17</v>
      </c>
      <c r="F630" s="1">
        <v>42387.581944444442</v>
      </c>
      <c r="G630" t="s">
        <v>1030</v>
      </c>
      <c r="H630" t="s">
        <v>71</v>
      </c>
      <c r="I630" t="s">
        <v>1031</v>
      </c>
      <c r="J630">
        <v>13</v>
      </c>
      <c r="K630" t="s">
        <v>21</v>
      </c>
      <c r="L630" t="s">
        <v>22</v>
      </c>
      <c r="M630" t="s">
        <v>23</v>
      </c>
      <c r="N630" t="s">
        <v>24</v>
      </c>
      <c r="O630" t="s">
        <v>44</v>
      </c>
    </row>
    <row r="631" spans="1:15" x14ac:dyDescent="0.35">
      <c r="A631">
        <v>808003</v>
      </c>
      <c r="B631" t="s">
        <v>15</v>
      </c>
      <c r="C631" t="s">
        <v>39</v>
      </c>
      <c r="D631">
        <v>17</v>
      </c>
      <c r="E631" t="s">
        <v>35</v>
      </c>
      <c r="F631" s="1">
        <v>42428.350694444445</v>
      </c>
      <c r="G631" t="s">
        <v>692</v>
      </c>
      <c r="H631" t="s">
        <v>54</v>
      </c>
      <c r="I631" t="s">
        <v>1032</v>
      </c>
      <c r="J631">
        <v>8</v>
      </c>
      <c r="K631" t="s">
        <v>56</v>
      </c>
      <c r="L631" t="s">
        <v>50</v>
      </c>
      <c r="M631" t="s">
        <v>57</v>
      </c>
      <c r="N631" t="s">
        <v>32</v>
      </c>
      <c r="O631" t="s">
        <v>33</v>
      </c>
    </row>
    <row r="632" spans="1:15" x14ac:dyDescent="0.35">
      <c r="A632">
        <v>805455</v>
      </c>
      <c r="B632" t="s">
        <v>38</v>
      </c>
      <c r="C632" t="s">
        <v>78</v>
      </c>
      <c r="D632">
        <v>28</v>
      </c>
      <c r="E632" t="s">
        <v>134</v>
      </c>
      <c r="F632" s="1">
        <v>42423.506249999999</v>
      </c>
      <c r="G632" t="s">
        <v>76</v>
      </c>
      <c r="H632" t="s">
        <v>19</v>
      </c>
      <c r="I632" t="s">
        <v>1033</v>
      </c>
      <c r="J632">
        <v>12</v>
      </c>
      <c r="K632" t="s">
        <v>49</v>
      </c>
      <c r="L632" t="s">
        <v>50</v>
      </c>
      <c r="M632" t="s">
        <v>23</v>
      </c>
      <c r="N632" t="s">
        <v>69</v>
      </c>
      <c r="O632" t="s">
        <v>44</v>
      </c>
    </row>
    <row r="633" spans="1:15" x14ac:dyDescent="0.35">
      <c r="A633">
        <v>939695</v>
      </c>
      <c r="B633" t="s">
        <v>38</v>
      </c>
      <c r="C633" t="s">
        <v>78</v>
      </c>
      <c r="D633">
        <v>31</v>
      </c>
      <c r="E633" t="s">
        <v>35</v>
      </c>
      <c r="F633" s="1">
        <v>42370.585416666669</v>
      </c>
      <c r="G633" t="s">
        <v>1034</v>
      </c>
      <c r="H633" t="s">
        <v>66</v>
      </c>
      <c r="I633" t="s">
        <v>1035</v>
      </c>
      <c r="J633">
        <v>14</v>
      </c>
      <c r="K633" t="s">
        <v>42</v>
      </c>
      <c r="L633" t="s">
        <v>22</v>
      </c>
      <c r="M633" t="s">
        <v>23</v>
      </c>
      <c r="N633" t="s">
        <v>24</v>
      </c>
      <c r="O633" t="s">
        <v>44</v>
      </c>
    </row>
    <row r="634" spans="1:15" x14ac:dyDescent="0.35">
      <c r="A634">
        <v>939695</v>
      </c>
      <c r="B634" t="s">
        <v>38</v>
      </c>
      <c r="C634" t="s">
        <v>78</v>
      </c>
      <c r="D634">
        <v>31</v>
      </c>
      <c r="E634" t="s">
        <v>35</v>
      </c>
      <c r="F634" s="1">
        <v>42378.752083333333</v>
      </c>
      <c r="G634" t="s">
        <v>145</v>
      </c>
      <c r="H634" t="s">
        <v>54</v>
      </c>
      <c r="I634" t="s">
        <v>1036</v>
      </c>
      <c r="J634">
        <v>18</v>
      </c>
      <c r="K634" t="s">
        <v>68</v>
      </c>
      <c r="L634" t="s">
        <v>22</v>
      </c>
      <c r="M634" t="s">
        <v>57</v>
      </c>
      <c r="N634" t="s">
        <v>24</v>
      </c>
      <c r="O634" t="s">
        <v>25</v>
      </c>
    </row>
    <row r="635" spans="1:15" x14ac:dyDescent="0.35">
      <c r="A635">
        <v>939695</v>
      </c>
      <c r="B635" t="s">
        <v>38</v>
      </c>
      <c r="C635" t="s">
        <v>78</v>
      </c>
      <c r="D635">
        <v>31</v>
      </c>
      <c r="E635" t="s">
        <v>35</v>
      </c>
      <c r="F635" s="1">
        <v>42383.677777777775</v>
      </c>
      <c r="G635" t="s">
        <v>1037</v>
      </c>
      <c r="H635" t="s">
        <v>116</v>
      </c>
      <c r="I635" t="s">
        <v>1038</v>
      </c>
      <c r="J635">
        <v>16</v>
      </c>
      <c r="K635" t="s">
        <v>63</v>
      </c>
      <c r="L635" t="s">
        <v>22</v>
      </c>
      <c r="M635" t="s">
        <v>23</v>
      </c>
      <c r="N635" t="s">
        <v>24</v>
      </c>
      <c r="O635" t="s">
        <v>44</v>
      </c>
    </row>
    <row r="636" spans="1:15" x14ac:dyDescent="0.35">
      <c r="A636">
        <v>919229</v>
      </c>
      <c r="B636" t="s">
        <v>15</v>
      </c>
      <c r="C636" t="s">
        <v>26</v>
      </c>
      <c r="D636">
        <v>32</v>
      </c>
      <c r="E636" t="s">
        <v>134</v>
      </c>
      <c r="F636" s="1">
        <v>42458.371527777781</v>
      </c>
      <c r="G636" t="s">
        <v>1039</v>
      </c>
      <c r="H636" t="s">
        <v>28</v>
      </c>
      <c r="I636" t="s">
        <v>1040</v>
      </c>
      <c r="J636">
        <v>8</v>
      </c>
      <c r="K636" t="s">
        <v>49</v>
      </c>
      <c r="L636" t="s">
        <v>31</v>
      </c>
      <c r="M636" t="s">
        <v>23</v>
      </c>
      <c r="N636" t="s">
        <v>24</v>
      </c>
      <c r="O636" t="s">
        <v>33</v>
      </c>
    </row>
    <row r="637" spans="1:15" x14ac:dyDescent="0.35">
      <c r="A637">
        <v>919229</v>
      </c>
      <c r="B637" t="s">
        <v>15</v>
      </c>
      <c r="C637" t="s">
        <v>26</v>
      </c>
      <c r="D637">
        <v>32</v>
      </c>
      <c r="E637" t="s">
        <v>134</v>
      </c>
      <c r="F637" s="1">
        <v>42458.445833333331</v>
      </c>
      <c r="G637" t="s">
        <v>409</v>
      </c>
      <c r="H637" t="s">
        <v>28</v>
      </c>
      <c r="I637" t="s">
        <v>1041</v>
      </c>
      <c r="J637">
        <v>10</v>
      </c>
      <c r="K637" t="s">
        <v>49</v>
      </c>
      <c r="L637" t="s">
        <v>31</v>
      </c>
      <c r="M637" t="s">
        <v>23</v>
      </c>
      <c r="N637" t="s">
        <v>24</v>
      </c>
      <c r="O637" t="s">
        <v>33</v>
      </c>
    </row>
    <row r="638" spans="1:15" x14ac:dyDescent="0.35">
      <c r="A638">
        <v>793670</v>
      </c>
      <c r="B638" t="s">
        <v>15</v>
      </c>
      <c r="C638" t="s">
        <v>16</v>
      </c>
      <c r="D638">
        <v>44</v>
      </c>
      <c r="E638" t="s">
        <v>17</v>
      </c>
      <c r="F638" s="1">
        <v>42386.821527777778</v>
      </c>
      <c r="G638" t="s">
        <v>466</v>
      </c>
      <c r="H638" t="s">
        <v>66</v>
      </c>
      <c r="I638" t="s">
        <v>1042</v>
      </c>
      <c r="J638">
        <v>19</v>
      </c>
      <c r="K638" t="s">
        <v>56</v>
      </c>
      <c r="L638" t="s">
        <v>22</v>
      </c>
      <c r="M638" t="s">
        <v>57</v>
      </c>
      <c r="N638" t="s">
        <v>93</v>
      </c>
      <c r="O638" t="s">
        <v>25</v>
      </c>
    </row>
    <row r="639" spans="1:15" x14ac:dyDescent="0.35">
      <c r="A639">
        <v>793670</v>
      </c>
      <c r="B639" t="s">
        <v>15</v>
      </c>
      <c r="C639" t="s">
        <v>16</v>
      </c>
      <c r="D639">
        <v>44</v>
      </c>
      <c r="E639" t="s">
        <v>17</v>
      </c>
      <c r="F639" s="1">
        <v>42398.692361111112</v>
      </c>
      <c r="G639" t="s">
        <v>1043</v>
      </c>
      <c r="H639" t="s">
        <v>86</v>
      </c>
      <c r="I639" t="s">
        <v>1044</v>
      </c>
      <c r="J639">
        <v>16</v>
      </c>
      <c r="K639" t="s">
        <v>42</v>
      </c>
      <c r="L639" t="s">
        <v>22</v>
      </c>
      <c r="M639" t="s">
        <v>23</v>
      </c>
      <c r="N639" t="s">
        <v>93</v>
      </c>
      <c r="O639" t="s">
        <v>44</v>
      </c>
    </row>
    <row r="640" spans="1:15" x14ac:dyDescent="0.35">
      <c r="A640">
        <v>793670</v>
      </c>
      <c r="B640" t="s">
        <v>15</v>
      </c>
      <c r="C640" t="s">
        <v>16</v>
      </c>
      <c r="D640">
        <v>44</v>
      </c>
      <c r="E640" t="s">
        <v>17</v>
      </c>
      <c r="F640" s="1">
        <v>42387.636111111111</v>
      </c>
      <c r="G640" t="s">
        <v>233</v>
      </c>
      <c r="H640" t="s">
        <v>116</v>
      </c>
      <c r="I640" t="s">
        <v>1045</v>
      </c>
      <c r="J640">
        <v>15</v>
      </c>
      <c r="K640" t="s">
        <v>21</v>
      </c>
      <c r="L640" t="s">
        <v>22</v>
      </c>
      <c r="M640" t="s">
        <v>23</v>
      </c>
      <c r="N640" t="s">
        <v>93</v>
      </c>
      <c r="O640" t="s">
        <v>44</v>
      </c>
    </row>
    <row r="641" spans="1:15" x14ac:dyDescent="0.35">
      <c r="A641">
        <v>793670</v>
      </c>
      <c r="B641" t="s">
        <v>15</v>
      </c>
      <c r="C641" t="s">
        <v>16</v>
      </c>
      <c r="D641">
        <v>44</v>
      </c>
      <c r="E641" t="s">
        <v>17</v>
      </c>
      <c r="F641" s="1">
        <v>42384.459722222222</v>
      </c>
      <c r="G641" t="s">
        <v>1046</v>
      </c>
      <c r="H641" t="s">
        <v>51</v>
      </c>
      <c r="I641" t="s">
        <v>1047</v>
      </c>
      <c r="J641">
        <v>11</v>
      </c>
      <c r="K641" t="s">
        <v>42</v>
      </c>
      <c r="L641" t="s">
        <v>22</v>
      </c>
      <c r="M641" t="s">
        <v>23</v>
      </c>
      <c r="N641" t="s">
        <v>93</v>
      </c>
      <c r="O641" t="s">
        <v>44</v>
      </c>
    </row>
    <row r="642" spans="1:15" x14ac:dyDescent="0.35">
      <c r="A642">
        <v>2359771</v>
      </c>
      <c r="B642" t="s">
        <v>15</v>
      </c>
      <c r="C642" t="s">
        <v>34</v>
      </c>
      <c r="D642">
        <v>35</v>
      </c>
      <c r="E642" t="s">
        <v>64</v>
      </c>
      <c r="F642" s="1">
        <v>42385.331250000003</v>
      </c>
      <c r="G642" t="s">
        <v>206</v>
      </c>
      <c r="H642" t="s">
        <v>71</v>
      </c>
      <c r="I642" t="s">
        <v>1048</v>
      </c>
      <c r="J642">
        <v>7</v>
      </c>
      <c r="K642" t="s">
        <v>68</v>
      </c>
      <c r="L642" t="s">
        <v>22</v>
      </c>
      <c r="M642" t="s">
        <v>57</v>
      </c>
      <c r="N642" t="s">
        <v>24</v>
      </c>
      <c r="O642" t="s">
        <v>33</v>
      </c>
    </row>
    <row r="643" spans="1:15" x14ac:dyDescent="0.35">
      <c r="A643">
        <v>2359771</v>
      </c>
      <c r="B643" t="s">
        <v>15</v>
      </c>
      <c r="C643" t="s">
        <v>34</v>
      </c>
      <c r="D643">
        <v>35</v>
      </c>
      <c r="E643" t="s">
        <v>64</v>
      </c>
      <c r="F643" s="1">
        <v>42391.431250000001</v>
      </c>
      <c r="G643" t="s">
        <v>1049</v>
      </c>
      <c r="H643" t="s">
        <v>19</v>
      </c>
      <c r="I643" t="s">
        <v>1050</v>
      </c>
      <c r="J643">
        <v>10</v>
      </c>
      <c r="K643" t="s">
        <v>42</v>
      </c>
      <c r="L643" t="s">
        <v>22</v>
      </c>
      <c r="M643" t="s">
        <v>23</v>
      </c>
      <c r="N643" t="s">
        <v>24</v>
      </c>
      <c r="O643" t="s">
        <v>33</v>
      </c>
    </row>
    <row r="644" spans="1:15" x14ac:dyDescent="0.35">
      <c r="A644">
        <v>2359771</v>
      </c>
      <c r="B644" t="s">
        <v>15</v>
      </c>
      <c r="C644" t="s">
        <v>34</v>
      </c>
      <c r="D644">
        <v>35</v>
      </c>
      <c r="E644" t="s">
        <v>64</v>
      </c>
      <c r="F644" s="1">
        <v>42389.327777777777</v>
      </c>
      <c r="G644" t="s">
        <v>1051</v>
      </c>
      <c r="H644" t="s">
        <v>19</v>
      </c>
      <c r="I644" t="s">
        <v>1052</v>
      </c>
      <c r="J644">
        <v>7</v>
      </c>
      <c r="K644" t="s">
        <v>30</v>
      </c>
      <c r="L644" t="s">
        <v>22</v>
      </c>
      <c r="M644" t="s">
        <v>23</v>
      </c>
      <c r="N644" t="s">
        <v>24</v>
      </c>
      <c r="O644" t="s">
        <v>33</v>
      </c>
    </row>
    <row r="645" spans="1:15" x14ac:dyDescent="0.35">
      <c r="A645">
        <v>2359771</v>
      </c>
      <c r="B645" t="s">
        <v>15</v>
      </c>
      <c r="C645" t="s">
        <v>34</v>
      </c>
      <c r="D645">
        <v>35</v>
      </c>
      <c r="E645" t="s">
        <v>64</v>
      </c>
      <c r="F645" s="1">
        <v>42385.654166666667</v>
      </c>
      <c r="G645" t="s">
        <v>1053</v>
      </c>
      <c r="H645" t="s">
        <v>71</v>
      </c>
      <c r="I645" t="s">
        <v>1054</v>
      </c>
      <c r="J645">
        <v>15</v>
      </c>
      <c r="K645" t="s">
        <v>68</v>
      </c>
      <c r="L645" t="s">
        <v>22</v>
      </c>
      <c r="M645" t="s">
        <v>57</v>
      </c>
      <c r="N645" t="s">
        <v>24</v>
      </c>
      <c r="O645" t="s">
        <v>44</v>
      </c>
    </row>
    <row r="646" spans="1:15" x14ac:dyDescent="0.35">
      <c r="A646">
        <v>809034</v>
      </c>
      <c r="B646" t="s">
        <v>15</v>
      </c>
      <c r="C646" t="s">
        <v>78</v>
      </c>
      <c r="D646">
        <v>61</v>
      </c>
      <c r="E646" t="s">
        <v>35</v>
      </c>
      <c r="F646" s="1">
        <v>42432.23541666667</v>
      </c>
      <c r="G646" t="s">
        <v>1055</v>
      </c>
      <c r="H646" t="s">
        <v>28</v>
      </c>
      <c r="I646" t="s">
        <v>1056</v>
      </c>
      <c r="J646">
        <v>5</v>
      </c>
      <c r="K646" t="s">
        <v>63</v>
      </c>
      <c r="L646" t="s">
        <v>31</v>
      </c>
      <c r="M646" t="s">
        <v>23</v>
      </c>
      <c r="N646" t="s">
        <v>1057</v>
      </c>
      <c r="O646" t="s">
        <v>33</v>
      </c>
    </row>
    <row r="647" spans="1:15" x14ac:dyDescent="0.35">
      <c r="A647">
        <v>809034</v>
      </c>
      <c r="B647" t="s">
        <v>15</v>
      </c>
      <c r="C647" t="s">
        <v>78</v>
      </c>
      <c r="D647">
        <v>61</v>
      </c>
      <c r="E647" t="s">
        <v>35</v>
      </c>
      <c r="F647" s="1">
        <v>42430.181944444441</v>
      </c>
      <c r="G647" t="s">
        <v>1058</v>
      </c>
      <c r="H647" t="s">
        <v>54</v>
      </c>
      <c r="I647" t="s">
        <v>1059</v>
      </c>
      <c r="J647">
        <v>4</v>
      </c>
      <c r="K647" t="s">
        <v>49</v>
      </c>
      <c r="L647" t="s">
        <v>31</v>
      </c>
      <c r="M647" t="s">
        <v>23</v>
      </c>
      <c r="N647" t="s">
        <v>1057</v>
      </c>
      <c r="O647" t="s">
        <v>58</v>
      </c>
    </row>
    <row r="648" spans="1:15" x14ac:dyDescent="0.35">
      <c r="A648">
        <v>793672</v>
      </c>
      <c r="B648" t="s">
        <v>38</v>
      </c>
      <c r="C648" t="s">
        <v>78</v>
      </c>
      <c r="D648">
        <v>31</v>
      </c>
      <c r="E648" t="s">
        <v>64</v>
      </c>
      <c r="F648" s="1">
        <v>42390.6875</v>
      </c>
      <c r="G648" t="s">
        <v>166</v>
      </c>
      <c r="H648" t="s">
        <v>106</v>
      </c>
      <c r="I648" t="s">
        <v>1060</v>
      </c>
      <c r="J648">
        <v>16</v>
      </c>
      <c r="K648" t="s">
        <v>63</v>
      </c>
      <c r="L648" t="s">
        <v>22</v>
      </c>
      <c r="M648" t="s">
        <v>23</v>
      </c>
      <c r="N648" t="s">
        <v>24</v>
      </c>
      <c r="O648" t="s">
        <v>44</v>
      </c>
    </row>
    <row r="649" spans="1:15" x14ac:dyDescent="0.35">
      <c r="A649">
        <v>2090555</v>
      </c>
      <c r="B649" t="s">
        <v>15</v>
      </c>
      <c r="C649" t="s">
        <v>34</v>
      </c>
      <c r="D649">
        <v>27</v>
      </c>
      <c r="E649" t="s">
        <v>35</v>
      </c>
      <c r="F649" s="1">
        <v>42442.73541666667</v>
      </c>
      <c r="G649" t="s">
        <v>187</v>
      </c>
      <c r="H649" t="s">
        <v>91</v>
      </c>
      <c r="I649" t="s">
        <v>1061</v>
      </c>
      <c r="J649">
        <v>17</v>
      </c>
      <c r="K649" t="s">
        <v>56</v>
      </c>
      <c r="L649" t="s">
        <v>31</v>
      </c>
      <c r="M649" t="s">
        <v>57</v>
      </c>
      <c r="N649" t="s">
        <v>69</v>
      </c>
      <c r="O649" t="s">
        <v>25</v>
      </c>
    </row>
    <row r="650" spans="1:15" x14ac:dyDescent="0.35">
      <c r="A650">
        <v>2090555</v>
      </c>
      <c r="B650" t="s">
        <v>15</v>
      </c>
      <c r="C650" t="s">
        <v>34</v>
      </c>
      <c r="D650">
        <v>27</v>
      </c>
      <c r="E650" t="s">
        <v>35</v>
      </c>
      <c r="F650" s="1">
        <v>42443.657638888886</v>
      </c>
      <c r="G650" t="s">
        <v>459</v>
      </c>
      <c r="H650" t="s">
        <v>28</v>
      </c>
      <c r="I650" t="s">
        <v>1062</v>
      </c>
      <c r="J650">
        <v>15</v>
      </c>
      <c r="K650" t="s">
        <v>21</v>
      </c>
      <c r="L650" t="s">
        <v>31</v>
      </c>
      <c r="M650" t="s">
        <v>23</v>
      </c>
      <c r="N650" t="s">
        <v>69</v>
      </c>
      <c r="O650" t="s">
        <v>44</v>
      </c>
    </row>
    <row r="651" spans="1:15" x14ac:dyDescent="0.35">
      <c r="A651">
        <v>2090555</v>
      </c>
      <c r="B651" t="s">
        <v>15</v>
      </c>
      <c r="C651" t="s">
        <v>34</v>
      </c>
      <c r="D651">
        <v>27</v>
      </c>
      <c r="E651" t="s">
        <v>35</v>
      </c>
      <c r="F651" s="1">
        <v>42448.45416666667</v>
      </c>
      <c r="G651" t="s">
        <v>403</v>
      </c>
      <c r="H651" t="s">
        <v>28</v>
      </c>
      <c r="I651" t="s">
        <v>1063</v>
      </c>
      <c r="J651">
        <v>10</v>
      </c>
      <c r="K651" t="s">
        <v>68</v>
      </c>
      <c r="L651" t="s">
        <v>31</v>
      </c>
      <c r="M651" t="s">
        <v>57</v>
      </c>
      <c r="N651" t="s">
        <v>69</v>
      </c>
      <c r="O651" t="s">
        <v>33</v>
      </c>
    </row>
    <row r="652" spans="1:15" x14ac:dyDescent="0.35">
      <c r="A652">
        <v>2090555</v>
      </c>
      <c r="B652" t="s">
        <v>15</v>
      </c>
      <c r="C652" t="s">
        <v>34</v>
      </c>
      <c r="D652">
        <v>27</v>
      </c>
      <c r="E652" t="s">
        <v>35</v>
      </c>
      <c r="F652" s="1">
        <v>42459.367361111108</v>
      </c>
      <c r="G652" t="s">
        <v>395</v>
      </c>
      <c r="H652" t="s">
        <v>28</v>
      </c>
      <c r="I652" t="s">
        <v>1016</v>
      </c>
      <c r="J652">
        <v>8</v>
      </c>
      <c r="K652" t="s">
        <v>30</v>
      </c>
      <c r="L652" t="s">
        <v>31</v>
      </c>
      <c r="M652" t="s">
        <v>23</v>
      </c>
      <c r="N652" t="s">
        <v>69</v>
      </c>
      <c r="O652" t="s">
        <v>33</v>
      </c>
    </row>
    <row r="653" spans="1:15" x14ac:dyDescent="0.35">
      <c r="A653">
        <v>809035</v>
      </c>
      <c r="B653" t="s">
        <v>15</v>
      </c>
      <c r="C653" t="s">
        <v>34</v>
      </c>
      <c r="D653">
        <v>42</v>
      </c>
      <c r="E653" t="s">
        <v>35</v>
      </c>
      <c r="F653" s="1">
        <v>42422.696527777778</v>
      </c>
      <c r="G653" t="s">
        <v>302</v>
      </c>
      <c r="H653" t="s">
        <v>28</v>
      </c>
      <c r="I653" t="s">
        <v>1064</v>
      </c>
      <c r="J653">
        <v>16</v>
      </c>
      <c r="K653" t="s">
        <v>21</v>
      </c>
      <c r="L653" t="s">
        <v>50</v>
      </c>
      <c r="M653" t="s">
        <v>23</v>
      </c>
      <c r="N653" t="s">
        <v>93</v>
      </c>
      <c r="O653" t="s">
        <v>44</v>
      </c>
    </row>
    <row r="654" spans="1:15" x14ac:dyDescent="0.35">
      <c r="A654">
        <v>809035</v>
      </c>
      <c r="B654" t="s">
        <v>15</v>
      </c>
      <c r="C654" t="s">
        <v>34</v>
      </c>
      <c r="D654">
        <v>42</v>
      </c>
      <c r="E654" t="s">
        <v>35</v>
      </c>
      <c r="F654" s="1">
        <v>42377.157638888886</v>
      </c>
      <c r="G654" t="s">
        <v>1065</v>
      </c>
      <c r="H654" t="s">
        <v>71</v>
      </c>
      <c r="I654" t="s">
        <v>1066</v>
      </c>
      <c r="J654">
        <v>3</v>
      </c>
      <c r="K654" t="s">
        <v>42</v>
      </c>
      <c r="L654" t="s">
        <v>22</v>
      </c>
      <c r="M654" t="s">
        <v>23</v>
      </c>
      <c r="N654" t="s">
        <v>93</v>
      </c>
      <c r="O654" t="s">
        <v>58</v>
      </c>
    </row>
    <row r="655" spans="1:15" x14ac:dyDescent="0.35">
      <c r="A655">
        <v>809035</v>
      </c>
      <c r="B655" t="s">
        <v>15</v>
      </c>
      <c r="C655" t="s">
        <v>34</v>
      </c>
      <c r="D655">
        <v>42</v>
      </c>
      <c r="E655" t="s">
        <v>35</v>
      </c>
      <c r="F655" s="1">
        <v>42398.823611111111</v>
      </c>
      <c r="G655" t="s">
        <v>300</v>
      </c>
      <c r="H655" t="s">
        <v>86</v>
      </c>
      <c r="I655" t="s">
        <v>1067</v>
      </c>
      <c r="J655">
        <v>19</v>
      </c>
      <c r="K655" t="s">
        <v>42</v>
      </c>
      <c r="L655" t="s">
        <v>22</v>
      </c>
      <c r="M655" t="s">
        <v>23</v>
      </c>
      <c r="N655" t="s">
        <v>93</v>
      </c>
      <c r="O655" t="s">
        <v>25</v>
      </c>
    </row>
    <row r="656" spans="1:15" x14ac:dyDescent="0.35">
      <c r="A656">
        <v>809035</v>
      </c>
      <c r="B656" t="s">
        <v>15</v>
      </c>
      <c r="C656" t="s">
        <v>34</v>
      </c>
      <c r="D656">
        <v>42</v>
      </c>
      <c r="E656" t="s">
        <v>35</v>
      </c>
      <c r="F656" s="1">
        <v>42432.195138888892</v>
      </c>
      <c r="G656" t="s">
        <v>644</v>
      </c>
      <c r="H656" t="s">
        <v>28</v>
      </c>
      <c r="I656" t="s">
        <v>1068</v>
      </c>
      <c r="J656">
        <v>4</v>
      </c>
      <c r="K656" t="s">
        <v>63</v>
      </c>
      <c r="L656" t="s">
        <v>31</v>
      </c>
      <c r="M656" t="s">
        <v>23</v>
      </c>
      <c r="N656" t="s">
        <v>93</v>
      </c>
      <c r="O656" t="s">
        <v>58</v>
      </c>
    </row>
    <row r="657" spans="1:15" x14ac:dyDescent="0.35">
      <c r="A657">
        <v>939699</v>
      </c>
      <c r="B657" t="s">
        <v>15</v>
      </c>
      <c r="C657" t="s">
        <v>26</v>
      </c>
      <c r="D657">
        <v>36</v>
      </c>
      <c r="E657" t="s">
        <v>17</v>
      </c>
      <c r="F657" s="1">
        <v>42430.538194444445</v>
      </c>
      <c r="G657" t="s">
        <v>222</v>
      </c>
      <c r="H657" t="s">
        <v>54</v>
      </c>
      <c r="I657" t="s">
        <v>1069</v>
      </c>
      <c r="J657">
        <v>12</v>
      </c>
      <c r="K657" t="s">
        <v>49</v>
      </c>
      <c r="L657" t="s">
        <v>31</v>
      </c>
      <c r="M657" t="s">
        <v>23</v>
      </c>
      <c r="N657" t="s">
        <v>24</v>
      </c>
      <c r="O657" t="s">
        <v>44</v>
      </c>
    </row>
    <row r="658" spans="1:15" x14ac:dyDescent="0.35">
      <c r="A658">
        <v>597268</v>
      </c>
      <c r="B658" t="s">
        <v>15</v>
      </c>
      <c r="C658" t="s">
        <v>78</v>
      </c>
      <c r="D658">
        <v>28</v>
      </c>
      <c r="E658" t="s">
        <v>45</v>
      </c>
      <c r="F658" s="1">
        <v>42375.269444444442</v>
      </c>
      <c r="G658" t="s">
        <v>1070</v>
      </c>
      <c r="H658" t="s">
        <v>19</v>
      </c>
      <c r="I658" t="s">
        <v>1071</v>
      </c>
      <c r="J658">
        <v>6</v>
      </c>
      <c r="K658" t="s">
        <v>30</v>
      </c>
      <c r="L658" t="s">
        <v>22</v>
      </c>
      <c r="M658" t="s">
        <v>23</v>
      </c>
      <c r="N658" t="s">
        <v>69</v>
      </c>
      <c r="O658" t="s">
        <v>33</v>
      </c>
    </row>
    <row r="659" spans="1:15" x14ac:dyDescent="0.35">
      <c r="A659">
        <v>597268</v>
      </c>
      <c r="B659" t="s">
        <v>15</v>
      </c>
      <c r="C659" t="s">
        <v>78</v>
      </c>
      <c r="D659">
        <v>28</v>
      </c>
      <c r="E659" t="s">
        <v>45</v>
      </c>
      <c r="F659" s="1">
        <v>42377.530555555553</v>
      </c>
      <c r="G659" t="s">
        <v>88</v>
      </c>
      <c r="H659" t="s">
        <v>86</v>
      </c>
      <c r="I659" t="s">
        <v>1072</v>
      </c>
      <c r="J659">
        <v>12</v>
      </c>
      <c r="K659" t="s">
        <v>42</v>
      </c>
      <c r="L659" t="s">
        <v>22</v>
      </c>
      <c r="M659" t="s">
        <v>23</v>
      </c>
      <c r="N659" t="s">
        <v>69</v>
      </c>
      <c r="O659" t="s">
        <v>44</v>
      </c>
    </row>
    <row r="660" spans="1:15" x14ac:dyDescent="0.35">
      <c r="A660">
        <v>597268</v>
      </c>
      <c r="B660" t="s">
        <v>15</v>
      </c>
      <c r="C660" t="s">
        <v>78</v>
      </c>
      <c r="D660">
        <v>28</v>
      </c>
      <c r="E660" t="s">
        <v>45</v>
      </c>
      <c r="F660" s="1">
        <v>42375.356249999997</v>
      </c>
      <c r="G660" t="s">
        <v>304</v>
      </c>
      <c r="H660" t="s">
        <v>54</v>
      </c>
      <c r="I660" t="s">
        <v>1073</v>
      </c>
      <c r="J660">
        <v>8</v>
      </c>
      <c r="K660" t="s">
        <v>30</v>
      </c>
      <c r="L660" t="s">
        <v>22</v>
      </c>
      <c r="M660" t="s">
        <v>23</v>
      </c>
      <c r="N660" t="s">
        <v>69</v>
      </c>
      <c r="O660" t="s">
        <v>33</v>
      </c>
    </row>
    <row r="661" spans="1:15" x14ac:dyDescent="0.35">
      <c r="A661">
        <v>597268</v>
      </c>
      <c r="B661" t="s">
        <v>15</v>
      </c>
      <c r="C661" t="s">
        <v>78</v>
      </c>
      <c r="D661">
        <v>28</v>
      </c>
      <c r="E661" t="s">
        <v>45</v>
      </c>
      <c r="F661" s="1">
        <v>42377.531944444447</v>
      </c>
      <c r="G661" t="s">
        <v>641</v>
      </c>
      <c r="H661" t="s">
        <v>54</v>
      </c>
      <c r="I661" t="s">
        <v>1074</v>
      </c>
      <c r="J661">
        <v>12</v>
      </c>
      <c r="K661" t="s">
        <v>42</v>
      </c>
      <c r="L661" t="s">
        <v>22</v>
      </c>
      <c r="M661" t="s">
        <v>23</v>
      </c>
      <c r="N661" t="s">
        <v>69</v>
      </c>
      <c r="O661" t="s">
        <v>44</v>
      </c>
    </row>
    <row r="662" spans="1:15" x14ac:dyDescent="0.35">
      <c r="A662">
        <v>597268</v>
      </c>
      <c r="B662" t="s">
        <v>15</v>
      </c>
      <c r="C662" t="s">
        <v>78</v>
      </c>
      <c r="D662">
        <v>28</v>
      </c>
      <c r="E662" t="s">
        <v>45</v>
      </c>
      <c r="F662" s="1">
        <v>42377.790972222225</v>
      </c>
      <c r="G662" t="s">
        <v>1075</v>
      </c>
      <c r="H662" t="s">
        <v>251</v>
      </c>
      <c r="I662" t="s">
        <v>1076</v>
      </c>
      <c r="J662">
        <v>18</v>
      </c>
      <c r="K662" t="s">
        <v>42</v>
      </c>
      <c r="L662" t="s">
        <v>22</v>
      </c>
      <c r="M662" t="s">
        <v>23</v>
      </c>
      <c r="N662" t="s">
        <v>69</v>
      </c>
      <c r="O662" t="s">
        <v>25</v>
      </c>
    </row>
    <row r="663" spans="1:15" x14ac:dyDescent="0.35">
      <c r="A663">
        <v>597268</v>
      </c>
      <c r="B663" t="s">
        <v>15</v>
      </c>
      <c r="C663" t="s">
        <v>78</v>
      </c>
      <c r="D663">
        <v>28</v>
      </c>
      <c r="E663" t="s">
        <v>45</v>
      </c>
      <c r="F663" s="1">
        <v>42379.626388888886</v>
      </c>
      <c r="G663" t="s">
        <v>1077</v>
      </c>
      <c r="H663" t="s">
        <v>54</v>
      </c>
      <c r="I663" t="s">
        <v>1078</v>
      </c>
      <c r="J663">
        <v>15</v>
      </c>
      <c r="K663" t="s">
        <v>56</v>
      </c>
      <c r="L663" t="s">
        <v>22</v>
      </c>
      <c r="M663" t="s">
        <v>57</v>
      </c>
      <c r="N663" t="s">
        <v>69</v>
      </c>
      <c r="O663" t="s">
        <v>44</v>
      </c>
    </row>
    <row r="664" spans="1:15" x14ac:dyDescent="0.35">
      <c r="A664">
        <v>597268</v>
      </c>
      <c r="B664" t="s">
        <v>15</v>
      </c>
      <c r="C664" t="s">
        <v>78</v>
      </c>
      <c r="D664">
        <v>28</v>
      </c>
      <c r="E664" t="s">
        <v>45</v>
      </c>
      <c r="F664" s="1">
        <v>42374.842361111114</v>
      </c>
      <c r="G664" t="s">
        <v>1079</v>
      </c>
      <c r="H664" t="s">
        <v>19</v>
      </c>
      <c r="I664" t="s">
        <v>1080</v>
      </c>
      <c r="J664">
        <v>20</v>
      </c>
      <c r="K664" t="s">
        <v>49</v>
      </c>
      <c r="L664" t="s">
        <v>22</v>
      </c>
      <c r="M664" t="s">
        <v>23</v>
      </c>
      <c r="N664" t="s">
        <v>69</v>
      </c>
      <c r="O664" t="s">
        <v>25</v>
      </c>
    </row>
    <row r="665" spans="1:15" x14ac:dyDescent="0.35">
      <c r="A665">
        <v>597268</v>
      </c>
      <c r="B665" t="s">
        <v>15</v>
      </c>
      <c r="C665" t="s">
        <v>78</v>
      </c>
      <c r="D665">
        <v>28</v>
      </c>
      <c r="E665" t="s">
        <v>45</v>
      </c>
      <c r="F665" s="1">
        <v>42377.30972222222</v>
      </c>
      <c r="G665" t="s">
        <v>88</v>
      </c>
      <c r="H665" t="s">
        <v>71</v>
      </c>
      <c r="I665" t="s">
        <v>1081</v>
      </c>
      <c r="J665">
        <v>7</v>
      </c>
      <c r="K665" t="s">
        <v>42</v>
      </c>
      <c r="L665" t="s">
        <v>22</v>
      </c>
      <c r="M665" t="s">
        <v>23</v>
      </c>
      <c r="N665" t="s">
        <v>69</v>
      </c>
      <c r="O665" t="s">
        <v>33</v>
      </c>
    </row>
    <row r="666" spans="1:15" x14ac:dyDescent="0.35">
      <c r="A666">
        <v>882376</v>
      </c>
      <c r="B666" t="s">
        <v>15</v>
      </c>
      <c r="C666" t="s">
        <v>39</v>
      </c>
      <c r="D666">
        <v>54</v>
      </c>
      <c r="E666" t="s">
        <v>35</v>
      </c>
      <c r="F666" s="1">
        <v>42448.593055555553</v>
      </c>
      <c r="G666" t="s">
        <v>130</v>
      </c>
      <c r="H666" t="s">
        <v>71</v>
      </c>
      <c r="I666" t="s">
        <v>1082</v>
      </c>
      <c r="J666">
        <v>14</v>
      </c>
      <c r="K666" t="s">
        <v>68</v>
      </c>
      <c r="L666" t="s">
        <v>31</v>
      </c>
      <c r="M666" t="s">
        <v>57</v>
      </c>
      <c r="N666" t="s">
        <v>43</v>
      </c>
      <c r="O666" t="s">
        <v>44</v>
      </c>
    </row>
    <row r="667" spans="1:15" x14ac:dyDescent="0.35">
      <c r="A667">
        <v>866244</v>
      </c>
      <c r="B667" t="s">
        <v>15</v>
      </c>
      <c r="C667" t="s">
        <v>78</v>
      </c>
      <c r="D667">
        <v>26</v>
      </c>
      <c r="E667" t="s">
        <v>17</v>
      </c>
      <c r="F667" s="1">
        <v>42421.271527777775</v>
      </c>
      <c r="G667" t="s">
        <v>120</v>
      </c>
      <c r="H667" t="s">
        <v>54</v>
      </c>
      <c r="I667" t="s">
        <v>1083</v>
      </c>
      <c r="J667">
        <v>6</v>
      </c>
      <c r="K667" t="s">
        <v>56</v>
      </c>
      <c r="L667" t="s">
        <v>50</v>
      </c>
      <c r="M667" t="s">
        <v>57</v>
      </c>
      <c r="N667" t="s">
        <v>69</v>
      </c>
      <c r="O667" t="s">
        <v>33</v>
      </c>
    </row>
    <row r="668" spans="1:15" x14ac:dyDescent="0.35">
      <c r="A668">
        <v>866244</v>
      </c>
      <c r="B668" t="s">
        <v>15</v>
      </c>
      <c r="C668" t="s">
        <v>78</v>
      </c>
      <c r="D668">
        <v>26</v>
      </c>
      <c r="E668" t="s">
        <v>17</v>
      </c>
      <c r="F668" s="1">
        <v>42420.543055555558</v>
      </c>
      <c r="G668" t="s">
        <v>403</v>
      </c>
      <c r="H668" t="s">
        <v>86</v>
      </c>
      <c r="I668" t="s">
        <v>1084</v>
      </c>
      <c r="J668">
        <v>13</v>
      </c>
      <c r="K668" t="s">
        <v>68</v>
      </c>
      <c r="L668" t="s">
        <v>50</v>
      </c>
      <c r="M668" t="s">
        <v>57</v>
      </c>
      <c r="N668" t="s">
        <v>69</v>
      </c>
      <c r="O668" t="s">
        <v>44</v>
      </c>
    </row>
    <row r="669" spans="1:15" x14ac:dyDescent="0.35">
      <c r="A669">
        <v>866244</v>
      </c>
      <c r="B669" t="s">
        <v>15</v>
      </c>
      <c r="C669" t="s">
        <v>78</v>
      </c>
      <c r="D669">
        <v>26</v>
      </c>
      <c r="E669" t="s">
        <v>17</v>
      </c>
      <c r="F669" s="1">
        <v>42420.543749999997</v>
      </c>
      <c r="G669" t="s">
        <v>139</v>
      </c>
      <c r="H669" t="s">
        <v>71</v>
      </c>
      <c r="I669" t="s">
        <v>1085</v>
      </c>
      <c r="J669">
        <v>13</v>
      </c>
      <c r="K669" t="s">
        <v>68</v>
      </c>
      <c r="L669" t="s">
        <v>50</v>
      </c>
      <c r="M669" t="s">
        <v>57</v>
      </c>
      <c r="N669" t="s">
        <v>69</v>
      </c>
      <c r="O669" t="s">
        <v>44</v>
      </c>
    </row>
    <row r="670" spans="1:15" x14ac:dyDescent="0.35">
      <c r="A670">
        <v>866244</v>
      </c>
      <c r="B670" t="s">
        <v>15</v>
      </c>
      <c r="C670" t="s">
        <v>78</v>
      </c>
      <c r="D670">
        <v>26</v>
      </c>
      <c r="E670" t="s">
        <v>17</v>
      </c>
      <c r="F670" s="1">
        <v>42421.305555555555</v>
      </c>
      <c r="G670" t="s">
        <v>1077</v>
      </c>
      <c r="H670" t="s">
        <v>54</v>
      </c>
      <c r="I670" t="s">
        <v>1086</v>
      </c>
      <c r="J670">
        <v>7</v>
      </c>
      <c r="K670" t="s">
        <v>56</v>
      </c>
      <c r="L670" t="s">
        <v>50</v>
      </c>
      <c r="M670" t="s">
        <v>57</v>
      </c>
      <c r="N670" t="s">
        <v>69</v>
      </c>
      <c r="O670" t="s">
        <v>33</v>
      </c>
    </row>
    <row r="671" spans="1:15" x14ac:dyDescent="0.35">
      <c r="A671">
        <v>866244</v>
      </c>
      <c r="B671" t="s">
        <v>15</v>
      </c>
      <c r="C671" t="s">
        <v>78</v>
      </c>
      <c r="D671">
        <v>26</v>
      </c>
      <c r="E671" t="s">
        <v>17</v>
      </c>
      <c r="F671" s="1">
        <v>42454.816666666666</v>
      </c>
      <c r="G671" t="s">
        <v>76</v>
      </c>
      <c r="H671" t="s">
        <v>86</v>
      </c>
      <c r="I671" t="s">
        <v>1087</v>
      </c>
      <c r="J671">
        <v>19</v>
      </c>
      <c r="K671" t="s">
        <v>42</v>
      </c>
      <c r="L671" t="s">
        <v>31</v>
      </c>
      <c r="M671" t="s">
        <v>23</v>
      </c>
      <c r="N671" t="s">
        <v>69</v>
      </c>
      <c r="O671" t="s">
        <v>25</v>
      </c>
    </row>
    <row r="672" spans="1:15" x14ac:dyDescent="0.35">
      <c r="A672">
        <v>866244</v>
      </c>
      <c r="B672" t="s">
        <v>15</v>
      </c>
      <c r="C672" t="s">
        <v>78</v>
      </c>
      <c r="D672">
        <v>26</v>
      </c>
      <c r="E672" t="s">
        <v>17</v>
      </c>
      <c r="F672" s="1">
        <v>42453.418055555558</v>
      </c>
      <c r="G672" t="s">
        <v>1088</v>
      </c>
      <c r="H672" t="s">
        <v>71</v>
      </c>
      <c r="I672" t="s">
        <v>1089</v>
      </c>
      <c r="J672">
        <v>10</v>
      </c>
      <c r="K672" t="s">
        <v>63</v>
      </c>
      <c r="L672" t="s">
        <v>31</v>
      </c>
      <c r="M672" t="s">
        <v>23</v>
      </c>
      <c r="N672" t="s">
        <v>69</v>
      </c>
      <c r="O672" t="s">
        <v>33</v>
      </c>
    </row>
    <row r="673" spans="1:15" x14ac:dyDescent="0.35">
      <c r="A673">
        <v>788744</v>
      </c>
      <c r="B673" t="s">
        <v>15</v>
      </c>
      <c r="C673" t="s">
        <v>16</v>
      </c>
      <c r="D673">
        <v>23</v>
      </c>
      <c r="E673" t="s">
        <v>17</v>
      </c>
      <c r="F673" s="1">
        <v>42383.964583333334</v>
      </c>
      <c r="G673" t="s">
        <v>1090</v>
      </c>
      <c r="H673" t="s">
        <v>86</v>
      </c>
      <c r="I673" t="s">
        <v>1091</v>
      </c>
      <c r="J673">
        <v>23</v>
      </c>
      <c r="K673" t="s">
        <v>63</v>
      </c>
      <c r="L673" t="s">
        <v>22</v>
      </c>
      <c r="M673" t="s">
        <v>23</v>
      </c>
      <c r="N673" t="s">
        <v>69</v>
      </c>
      <c r="O673" t="s">
        <v>104</v>
      </c>
    </row>
    <row r="674" spans="1:15" x14ac:dyDescent="0.35">
      <c r="A674">
        <v>788744</v>
      </c>
      <c r="B674" t="s">
        <v>15</v>
      </c>
      <c r="C674" t="s">
        <v>16</v>
      </c>
      <c r="D674">
        <v>23</v>
      </c>
      <c r="E674" t="s">
        <v>17</v>
      </c>
      <c r="F674" s="1">
        <v>42387.399305555555</v>
      </c>
      <c r="G674" t="s">
        <v>220</v>
      </c>
      <c r="H674" t="s">
        <v>71</v>
      </c>
      <c r="I674" t="s">
        <v>1092</v>
      </c>
      <c r="J674">
        <v>9</v>
      </c>
      <c r="K674" t="s">
        <v>21</v>
      </c>
      <c r="L674" t="s">
        <v>22</v>
      </c>
      <c r="M674" t="s">
        <v>23</v>
      </c>
      <c r="N674" t="s">
        <v>69</v>
      </c>
      <c r="O674" t="s">
        <v>33</v>
      </c>
    </row>
    <row r="675" spans="1:15" x14ac:dyDescent="0.35">
      <c r="A675">
        <v>771902</v>
      </c>
      <c r="B675" t="s">
        <v>15</v>
      </c>
      <c r="C675" t="s">
        <v>78</v>
      </c>
      <c r="D675">
        <v>24</v>
      </c>
      <c r="E675" t="s">
        <v>35</v>
      </c>
      <c r="F675" s="1">
        <v>42384.774305555555</v>
      </c>
      <c r="G675" t="s">
        <v>668</v>
      </c>
      <c r="H675" t="s">
        <v>106</v>
      </c>
      <c r="I675" t="s">
        <v>1093</v>
      </c>
      <c r="J675">
        <v>18</v>
      </c>
      <c r="K675" t="s">
        <v>42</v>
      </c>
      <c r="L675" t="s">
        <v>22</v>
      </c>
      <c r="M675" t="s">
        <v>23</v>
      </c>
      <c r="N675" t="s">
        <v>69</v>
      </c>
      <c r="O675" t="s">
        <v>25</v>
      </c>
    </row>
    <row r="676" spans="1:15" x14ac:dyDescent="0.35">
      <c r="A676">
        <v>771903</v>
      </c>
      <c r="B676" t="s">
        <v>15</v>
      </c>
      <c r="C676" t="s">
        <v>26</v>
      </c>
      <c r="D676">
        <v>28</v>
      </c>
      <c r="E676" t="s">
        <v>35</v>
      </c>
      <c r="F676" s="1">
        <v>42456.633333333331</v>
      </c>
      <c r="G676" t="s">
        <v>726</v>
      </c>
      <c r="H676" t="s">
        <v>71</v>
      </c>
      <c r="I676" t="s">
        <v>1094</v>
      </c>
      <c r="J676">
        <v>15</v>
      </c>
      <c r="K676" t="s">
        <v>56</v>
      </c>
      <c r="L676" t="s">
        <v>31</v>
      </c>
      <c r="M676" t="s">
        <v>57</v>
      </c>
      <c r="N676" t="s">
        <v>69</v>
      </c>
      <c r="O676" t="s">
        <v>44</v>
      </c>
    </row>
    <row r="677" spans="1:15" x14ac:dyDescent="0.35">
      <c r="A677">
        <v>747690</v>
      </c>
      <c r="B677" t="s">
        <v>38</v>
      </c>
      <c r="C677" t="s">
        <v>78</v>
      </c>
      <c r="D677">
        <v>29</v>
      </c>
      <c r="E677" t="s">
        <v>35</v>
      </c>
      <c r="F677" s="1">
        <v>42385.78402777778</v>
      </c>
      <c r="G677" t="s">
        <v>108</v>
      </c>
      <c r="H677" t="s">
        <v>19</v>
      </c>
      <c r="I677" t="s">
        <v>1095</v>
      </c>
      <c r="J677">
        <v>18</v>
      </c>
      <c r="K677" t="s">
        <v>68</v>
      </c>
      <c r="L677" t="s">
        <v>22</v>
      </c>
      <c r="M677" t="s">
        <v>57</v>
      </c>
      <c r="N677" t="s">
        <v>24</v>
      </c>
      <c r="O677" t="s">
        <v>25</v>
      </c>
    </row>
    <row r="678" spans="1:15" x14ac:dyDescent="0.35">
      <c r="A678">
        <v>779485</v>
      </c>
      <c r="B678" t="s">
        <v>15</v>
      </c>
      <c r="C678" t="s">
        <v>78</v>
      </c>
      <c r="D678">
        <v>25</v>
      </c>
      <c r="E678" t="s">
        <v>335</v>
      </c>
      <c r="F678" s="1">
        <v>42402.390972222223</v>
      </c>
      <c r="G678" t="s">
        <v>136</v>
      </c>
      <c r="H678" t="s">
        <v>51</v>
      </c>
      <c r="I678" t="s">
        <v>1096</v>
      </c>
      <c r="J678">
        <v>9</v>
      </c>
      <c r="K678" t="s">
        <v>49</v>
      </c>
      <c r="L678" t="s">
        <v>50</v>
      </c>
      <c r="M678" t="s">
        <v>23</v>
      </c>
      <c r="N678" t="s">
        <v>69</v>
      </c>
      <c r="O678" t="s">
        <v>33</v>
      </c>
    </row>
    <row r="679" spans="1:15" x14ac:dyDescent="0.35">
      <c r="A679">
        <v>779485</v>
      </c>
      <c r="B679" t="s">
        <v>15</v>
      </c>
      <c r="C679" t="s">
        <v>78</v>
      </c>
      <c r="D679">
        <v>25</v>
      </c>
      <c r="E679" t="s">
        <v>335</v>
      </c>
      <c r="F679" s="1">
        <v>42402.638888888891</v>
      </c>
      <c r="G679" t="s">
        <v>1097</v>
      </c>
      <c r="H679" t="s">
        <v>19</v>
      </c>
      <c r="I679" t="s">
        <v>1098</v>
      </c>
      <c r="J679">
        <v>15</v>
      </c>
      <c r="K679" t="s">
        <v>49</v>
      </c>
      <c r="L679" t="s">
        <v>50</v>
      </c>
      <c r="M679" t="s">
        <v>23</v>
      </c>
      <c r="N679" t="s">
        <v>69</v>
      </c>
      <c r="O679" t="s">
        <v>44</v>
      </c>
    </row>
    <row r="680" spans="1:15" x14ac:dyDescent="0.35">
      <c r="A680">
        <v>779485</v>
      </c>
      <c r="B680" t="s">
        <v>15</v>
      </c>
      <c r="C680" t="s">
        <v>78</v>
      </c>
      <c r="D680">
        <v>25</v>
      </c>
      <c r="E680" t="s">
        <v>335</v>
      </c>
      <c r="F680" s="1">
        <v>42404.899305555555</v>
      </c>
      <c r="G680" t="s">
        <v>314</v>
      </c>
      <c r="H680" t="s">
        <v>225</v>
      </c>
      <c r="I680" t="s">
        <v>1099</v>
      </c>
      <c r="J680">
        <v>21</v>
      </c>
      <c r="K680" t="s">
        <v>63</v>
      </c>
      <c r="L680" t="s">
        <v>50</v>
      </c>
      <c r="M680" t="s">
        <v>23</v>
      </c>
      <c r="N680" t="s">
        <v>69</v>
      </c>
      <c r="O680" t="s">
        <v>25</v>
      </c>
    </row>
    <row r="681" spans="1:15" x14ac:dyDescent="0.35">
      <c r="A681">
        <v>779485</v>
      </c>
      <c r="B681" t="s">
        <v>15</v>
      </c>
      <c r="C681" t="s">
        <v>78</v>
      </c>
      <c r="D681">
        <v>25</v>
      </c>
      <c r="E681" t="s">
        <v>335</v>
      </c>
      <c r="F681" s="1">
        <v>42375.398611111108</v>
      </c>
      <c r="G681" t="s">
        <v>840</v>
      </c>
      <c r="H681" t="s">
        <v>51</v>
      </c>
      <c r="I681" t="s">
        <v>1100</v>
      </c>
      <c r="J681">
        <v>9</v>
      </c>
      <c r="K681" t="s">
        <v>30</v>
      </c>
      <c r="L681" t="s">
        <v>22</v>
      </c>
      <c r="M681" t="s">
        <v>23</v>
      </c>
      <c r="N681" t="s">
        <v>69</v>
      </c>
      <c r="O681" t="s">
        <v>33</v>
      </c>
    </row>
    <row r="682" spans="1:15" x14ac:dyDescent="0.35">
      <c r="A682">
        <v>779485</v>
      </c>
      <c r="B682" t="s">
        <v>15</v>
      </c>
      <c r="C682" t="s">
        <v>78</v>
      </c>
      <c r="D682">
        <v>25</v>
      </c>
      <c r="E682" t="s">
        <v>335</v>
      </c>
      <c r="F682" s="1">
        <v>42371.281944444447</v>
      </c>
      <c r="G682" t="s">
        <v>641</v>
      </c>
      <c r="H682" t="s">
        <v>54</v>
      </c>
      <c r="I682" t="s">
        <v>1101</v>
      </c>
      <c r="J682">
        <v>6</v>
      </c>
      <c r="K682" t="s">
        <v>68</v>
      </c>
      <c r="L682" t="s">
        <v>22</v>
      </c>
      <c r="M682" t="s">
        <v>57</v>
      </c>
      <c r="N682" t="s">
        <v>69</v>
      </c>
      <c r="O682" t="s">
        <v>33</v>
      </c>
    </row>
    <row r="683" spans="1:15" x14ac:dyDescent="0.35">
      <c r="A683">
        <v>779485</v>
      </c>
      <c r="B683" t="s">
        <v>15</v>
      </c>
      <c r="C683" t="s">
        <v>78</v>
      </c>
      <c r="D683">
        <v>25</v>
      </c>
      <c r="E683" t="s">
        <v>335</v>
      </c>
      <c r="F683" s="1">
        <v>42399.443055555559</v>
      </c>
      <c r="G683" t="s">
        <v>1102</v>
      </c>
      <c r="H683" t="s">
        <v>54</v>
      </c>
      <c r="I683" t="s">
        <v>1103</v>
      </c>
      <c r="J683">
        <v>10</v>
      </c>
      <c r="K683" t="s">
        <v>68</v>
      </c>
      <c r="L683" t="s">
        <v>22</v>
      </c>
      <c r="M683" t="s">
        <v>57</v>
      </c>
      <c r="N683" t="s">
        <v>69</v>
      </c>
      <c r="O683" t="s">
        <v>33</v>
      </c>
    </row>
    <row r="684" spans="1:15" x14ac:dyDescent="0.35">
      <c r="A684">
        <v>779485</v>
      </c>
      <c r="B684" t="s">
        <v>15</v>
      </c>
      <c r="C684" t="s">
        <v>78</v>
      </c>
      <c r="D684">
        <v>25</v>
      </c>
      <c r="E684" t="s">
        <v>335</v>
      </c>
      <c r="F684" s="1">
        <v>42398.478472222225</v>
      </c>
      <c r="G684" t="s">
        <v>1104</v>
      </c>
      <c r="H684" t="s">
        <v>86</v>
      </c>
      <c r="I684" t="s">
        <v>1105</v>
      </c>
      <c r="J684">
        <v>11</v>
      </c>
      <c r="K684" t="s">
        <v>42</v>
      </c>
      <c r="L684" t="s">
        <v>22</v>
      </c>
      <c r="M684" t="s">
        <v>23</v>
      </c>
      <c r="N684" t="s">
        <v>69</v>
      </c>
      <c r="O684" t="s">
        <v>44</v>
      </c>
    </row>
    <row r="685" spans="1:15" x14ac:dyDescent="0.35">
      <c r="A685">
        <v>736517</v>
      </c>
      <c r="B685" t="s">
        <v>15</v>
      </c>
      <c r="C685" t="s">
        <v>78</v>
      </c>
      <c r="D685">
        <v>39</v>
      </c>
      <c r="E685" t="s">
        <v>75</v>
      </c>
      <c r="F685" s="1">
        <v>42393.419444444444</v>
      </c>
      <c r="G685" t="s">
        <v>76</v>
      </c>
      <c r="H685" t="s">
        <v>106</v>
      </c>
      <c r="I685" t="s">
        <v>1106</v>
      </c>
      <c r="J685">
        <v>10</v>
      </c>
      <c r="K685" t="s">
        <v>56</v>
      </c>
      <c r="L685" t="s">
        <v>22</v>
      </c>
      <c r="M685" t="s">
        <v>57</v>
      </c>
      <c r="N685" t="s">
        <v>93</v>
      </c>
      <c r="O685" t="s">
        <v>33</v>
      </c>
    </row>
    <row r="686" spans="1:15" x14ac:dyDescent="0.35">
      <c r="A686">
        <v>736517</v>
      </c>
      <c r="B686" t="s">
        <v>15</v>
      </c>
      <c r="C686" t="s">
        <v>78</v>
      </c>
      <c r="D686">
        <v>39</v>
      </c>
      <c r="E686" t="s">
        <v>75</v>
      </c>
      <c r="F686" s="1">
        <v>42393.34375</v>
      </c>
      <c r="G686" t="s">
        <v>1107</v>
      </c>
      <c r="H686" t="s">
        <v>106</v>
      </c>
      <c r="I686" t="s">
        <v>1108</v>
      </c>
      <c r="J686">
        <v>8</v>
      </c>
      <c r="K686" t="s">
        <v>56</v>
      </c>
      <c r="L686" t="s">
        <v>22</v>
      </c>
      <c r="M686" t="s">
        <v>57</v>
      </c>
      <c r="N686" t="s">
        <v>93</v>
      </c>
      <c r="O686" t="s">
        <v>33</v>
      </c>
    </row>
    <row r="687" spans="1:15" x14ac:dyDescent="0.35">
      <c r="A687">
        <v>779486</v>
      </c>
      <c r="B687" t="s">
        <v>15</v>
      </c>
      <c r="C687" t="s">
        <v>78</v>
      </c>
      <c r="D687">
        <v>36</v>
      </c>
      <c r="E687" t="s">
        <v>35</v>
      </c>
      <c r="F687" s="1">
        <v>42378.144444444442</v>
      </c>
      <c r="G687" t="s">
        <v>178</v>
      </c>
      <c r="H687" t="s">
        <v>86</v>
      </c>
      <c r="I687" t="s">
        <v>1109</v>
      </c>
      <c r="J687">
        <v>3</v>
      </c>
      <c r="K687" t="s">
        <v>68</v>
      </c>
      <c r="L687" t="s">
        <v>22</v>
      </c>
      <c r="M687" t="s">
        <v>57</v>
      </c>
      <c r="N687" t="s">
        <v>24</v>
      </c>
      <c r="O687" t="s">
        <v>58</v>
      </c>
    </row>
    <row r="688" spans="1:15" x14ac:dyDescent="0.35">
      <c r="A688">
        <v>939702</v>
      </c>
      <c r="B688" t="s">
        <v>15</v>
      </c>
      <c r="C688" t="s">
        <v>26</v>
      </c>
      <c r="D688">
        <v>37</v>
      </c>
      <c r="E688" t="s">
        <v>17</v>
      </c>
      <c r="F688" s="1">
        <v>42433.793055555558</v>
      </c>
      <c r="G688" t="s">
        <v>1110</v>
      </c>
      <c r="H688" t="s">
        <v>51</v>
      </c>
      <c r="I688" t="s">
        <v>1111</v>
      </c>
      <c r="J688">
        <v>19</v>
      </c>
      <c r="K688" t="s">
        <v>42</v>
      </c>
      <c r="L688" t="s">
        <v>31</v>
      </c>
      <c r="M688" t="s">
        <v>23</v>
      </c>
      <c r="N688" t="s">
        <v>24</v>
      </c>
      <c r="O688" t="s">
        <v>25</v>
      </c>
    </row>
    <row r="689" spans="1:15" x14ac:dyDescent="0.35">
      <c r="A689">
        <v>764429</v>
      </c>
      <c r="B689" t="s">
        <v>15</v>
      </c>
      <c r="C689" t="s">
        <v>39</v>
      </c>
      <c r="D689">
        <v>22</v>
      </c>
      <c r="E689" t="s">
        <v>17</v>
      </c>
      <c r="F689" s="1">
        <v>42375.807638888888</v>
      </c>
      <c r="G689" t="s">
        <v>1112</v>
      </c>
      <c r="H689" t="s">
        <v>19</v>
      </c>
      <c r="I689" t="s">
        <v>1113</v>
      </c>
      <c r="J689">
        <v>19</v>
      </c>
      <c r="K689" t="s">
        <v>30</v>
      </c>
      <c r="L689" t="s">
        <v>22</v>
      </c>
      <c r="M689" t="s">
        <v>23</v>
      </c>
      <c r="N689" t="s">
        <v>69</v>
      </c>
      <c r="O689" t="s">
        <v>25</v>
      </c>
    </row>
    <row r="690" spans="1:15" x14ac:dyDescent="0.35">
      <c r="A690">
        <v>764429</v>
      </c>
      <c r="B690" t="s">
        <v>15</v>
      </c>
      <c r="C690" t="s">
        <v>39</v>
      </c>
      <c r="D690">
        <v>22</v>
      </c>
      <c r="E690" t="s">
        <v>17</v>
      </c>
      <c r="F690" s="1">
        <v>42427.822222222225</v>
      </c>
      <c r="G690" t="s">
        <v>172</v>
      </c>
      <c r="H690" t="s">
        <v>225</v>
      </c>
      <c r="I690" t="s">
        <v>1114</v>
      </c>
      <c r="J690">
        <v>19</v>
      </c>
      <c r="K690" t="s">
        <v>68</v>
      </c>
      <c r="L690" t="s">
        <v>50</v>
      </c>
      <c r="M690" t="s">
        <v>57</v>
      </c>
      <c r="N690" t="s">
        <v>69</v>
      </c>
      <c r="O690" t="s">
        <v>25</v>
      </c>
    </row>
    <row r="691" spans="1:15" x14ac:dyDescent="0.35">
      <c r="A691">
        <v>742848</v>
      </c>
      <c r="B691" t="s">
        <v>15</v>
      </c>
      <c r="C691" t="s">
        <v>78</v>
      </c>
      <c r="D691">
        <v>25</v>
      </c>
      <c r="E691" t="s">
        <v>45</v>
      </c>
      <c r="F691" s="1">
        <v>42403.207638888889</v>
      </c>
      <c r="G691" t="s">
        <v>817</v>
      </c>
      <c r="H691" t="s">
        <v>116</v>
      </c>
      <c r="I691" t="s">
        <v>1115</v>
      </c>
      <c r="J691">
        <v>4</v>
      </c>
      <c r="K691" t="s">
        <v>30</v>
      </c>
      <c r="L691" t="s">
        <v>50</v>
      </c>
      <c r="M691" t="s">
        <v>23</v>
      </c>
      <c r="N691" t="s">
        <v>69</v>
      </c>
      <c r="O691" t="s">
        <v>58</v>
      </c>
    </row>
    <row r="692" spans="1:15" x14ac:dyDescent="0.35">
      <c r="A692">
        <v>742848</v>
      </c>
      <c r="B692" t="s">
        <v>15</v>
      </c>
      <c r="C692" t="s">
        <v>78</v>
      </c>
      <c r="D692">
        <v>25</v>
      </c>
      <c r="E692" t="s">
        <v>45</v>
      </c>
      <c r="F692" s="1">
        <v>42396.177083333336</v>
      </c>
      <c r="G692" t="s">
        <v>204</v>
      </c>
      <c r="H692" t="s">
        <v>54</v>
      </c>
      <c r="I692" t="s">
        <v>1116</v>
      </c>
      <c r="J692">
        <v>4</v>
      </c>
      <c r="K692" t="s">
        <v>30</v>
      </c>
      <c r="L692" t="s">
        <v>22</v>
      </c>
      <c r="M692" t="s">
        <v>23</v>
      </c>
      <c r="N692" t="s">
        <v>69</v>
      </c>
      <c r="O692" t="s">
        <v>58</v>
      </c>
    </row>
    <row r="693" spans="1:15" x14ac:dyDescent="0.35">
      <c r="A693">
        <v>742848</v>
      </c>
      <c r="B693" t="s">
        <v>15</v>
      </c>
      <c r="C693" t="s">
        <v>78</v>
      </c>
      <c r="D693">
        <v>25</v>
      </c>
      <c r="E693" t="s">
        <v>45</v>
      </c>
      <c r="F693" s="1">
        <v>42409.798611111109</v>
      </c>
      <c r="G693" t="s">
        <v>65</v>
      </c>
      <c r="H693" t="s">
        <v>86</v>
      </c>
      <c r="I693" t="s">
        <v>1117</v>
      </c>
      <c r="J693">
        <v>19</v>
      </c>
      <c r="K693" t="s">
        <v>49</v>
      </c>
      <c r="L693" t="s">
        <v>50</v>
      </c>
      <c r="M693" t="s">
        <v>23</v>
      </c>
      <c r="N693" t="s">
        <v>69</v>
      </c>
      <c r="O693" t="s">
        <v>25</v>
      </c>
    </row>
    <row r="694" spans="1:15" x14ac:dyDescent="0.35">
      <c r="A694">
        <v>859379</v>
      </c>
      <c r="B694" t="s">
        <v>15</v>
      </c>
      <c r="C694" t="s">
        <v>16</v>
      </c>
      <c r="D694">
        <v>20</v>
      </c>
      <c r="E694" t="s">
        <v>35</v>
      </c>
      <c r="F694" s="1">
        <v>42440.318055555559</v>
      </c>
      <c r="G694" t="s">
        <v>1118</v>
      </c>
      <c r="H694" t="s">
        <v>71</v>
      </c>
      <c r="I694" t="s">
        <v>1119</v>
      </c>
      <c r="J694">
        <v>7</v>
      </c>
      <c r="K694" t="s">
        <v>42</v>
      </c>
      <c r="L694" t="s">
        <v>31</v>
      </c>
      <c r="M694" t="s">
        <v>23</v>
      </c>
      <c r="N694" t="s">
        <v>69</v>
      </c>
      <c r="O694" t="s">
        <v>33</v>
      </c>
    </row>
    <row r="695" spans="1:15" x14ac:dyDescent="0.35">
      <c r="A695">
        <v>2285664</v>
      </c>
      <c r="B695" t="s">
        <v>15</v>
      </c>
      <c r="C695" t="s">
        <v>34</v>
      </c>
      <c r="D695">
        <v>28</v>
      </c>
      <c r="E695" t="s">
        <v>75</v>
      </c>
      <c r="F695" s="1">
        <v>42454.30972222222</v>
      </c>
      <c r="G695" t="s">
        <v>76</v>
      </c>
      <c r="H695" t="s">
        <v>86</v>
      </c>
      <c r="I695" t="s">
        <v>1120</v>
      </c>
      <c r="J695">
        <v>7</v>
      </c>
      <c r="K695" t="s">
        <v>42</v>
      </c>
      <c r="L695" t="s">
        <v>31</v>
      </c>
      <c r="M695" t="s">
        <v>23</v>
      </c>
      <c r="N695" t="s">
        <v>69</v>
      </c>
      <c r="O695" t="s">
        <v>33</v>
      </c>
    </row>
    <row r="696" spans="1:15" x14ac:dyDescent="0.35">
      <c r="A696">
        <v>2285664</v>
      </c>
      <c r="B696" t="s">
        <v>15</v>
      </c>
      <c r="C696" t="s">
        <v>34</v>
      </c>
      <c r="D696">
        <v>28</v>
      </c>
      <c r="E696" t="s">
        <v>75</v>
      </c>
      <c r="F696" s="1">
        <v>42455.418055555558</v>
      </c>
      <c r="G696" t="s">
        <v>1121</v>
      </c>
      <c r="H696" t="s">
        <v>28</v>
      </c>
      <c r="I696" t="s">
        <v>1122</v>
      </c>
      <c r="J696">
        <v>10</v>
      </c>
      <c r="K696" t="s">
        <v>68</v>
      </c>
      <c r="L696" t="s">
        <v>31</v>
      </c>
      <c r="M696" t="s">
        <v>57</v>
      </c>
      <c r="N696" t="s">
        <v>69</v>
      </c>
      <c r="O696" t="s">
        <v>33</v>
      </c>
    </row>
    <row r="697" spans="1:15" x14ac:dyDescent="0.35">
      <c r="A697">
        <v>777129</v>
      </c>
      <c r="B697" t="s">
        <v>15</v>
      </c>
      <c r="C697" t="s">
        <v>39</v>
      </c>
      <c r="D697">
        <v>31</v>
      </c>
      <c r="E697" t="s">
        <v>335</v>
      </c>
      <c r="F697" s="1">
        <v>42379.79791666667</v>
      </c>
      <c r="G697" t="s">
        <v>130</v>
      </c>
      <c r="H697" t="s">
        <v>19</v>
      </c>
      <c r="I697" t="s">
        <v>1123</v>
      </c>
      <c r="J697">
        <v>19</v>
      </c>
      <c r="K697" t="s">
        <v>56</v>
      </c>
      <c r="L697" t="s">
        <v>22</v>
      </c>
      <c r="M697" t="s">
        <v>57</v>
      </c>
      <c r="N697" t="s">
        <v>24</v>
      </c>
      <c r="O697" t="s">
        <v>25</v>
      </c>
    </row>
    <row r="698" spans="1:15" x14ac:dyDescent="0.35">
      <c r="A698">
        <v>771907</v>
      </c>
      <c r="B698" t="s">
        <v>15</v>
      </c>
      <c r="C698" t="s">
        <v>78</v>
      </c>
      <c r="D698">
        <v>41</v>
      </c>
      <c r="E698" t="s">
        <v>64</v>
      </c>
      <c r="F698" s="1">
        <v>42409.739583333336</v>
      </c>
      <c r="G698" t="s">
        <v>1124</v>
      </c>
      <c r="H698" t="s">
        <v>19</v>
      </c>
      <c r="I698" t="s">
        <v>1125</v>
      </c>
      <c r="J698">
        <v>17</v>
      </c>
      <c r="K698" t="s">
        <v>49</v>
      </c>
      <c r="L698" t="s">
        <v>50</v>
      </c>
      <c r="M698" t="s">
        <v>23</v>
      </c>
      <c r="N698" t="s">
        <v>93</v>
      </c>
      <c r="O698" t="s">
        <v>25</v>
      </c>
    </row>
    <row r="699" spans="1:15" x14ac:dyDescent="0.35">
      <c r="A699">
        <v>720398</v>
      </c>
      <c r="B699" t="s">
        <v>38</v>
      </c>
      <c r="C699" t="s">
        <v>16</v>
      </c>
      <c r="D699">
        <v>28</v>
      </c>
      <c r="E699" t="s">
        <v>35</v>
      </c>
      <c r="F699" s="1">
        <v>42389.723611111112</v>
      </c>
      <c r="G699" t="s">
        <v>1126</v>
      </c>
      <c r="H699" t="s">
        <v>251</v>
      </c>
      <c r="I699" t="s">
        <v>1127</v>
      </c>
      <c r="J699">
        <v>17</v>
      </c>
      <c r="K699" t="s">
        <v>30</v>
      </c>
      <c r="L699" t="s">
        <v>22</v>
      </c>
      <c r="M699" t="s">
        <v>23</v>
      </c>
      <c r="N699" t="s">
        <v>69</v>
      </c>
      <c r="O699" t="s">
        <v>25</v>
      </c>
    </row>
    <row r="700" spans="1:15" x14ac:dyDescent="0.35">
      <c r="A700">
        <v>819332</v>
      </c>
      <c r="B700" t="s">
        <v>15</v>
      </c>
      <c r="C700" t="s">
        <v>39</v>
      </c>
      <c r="D700">
        <v>62</v>
      </c>
      <c r="E700" t="s">
        <v>35</v>
      </c>
      <c r="F700" s="1">
        <v>42435.863888888889</v>
      </c>
      <c r="G700" t="s">
        <v>403</v>
      </c>
      <c r="H700" t="s">
        <v>51</v>
      </c>
      <c r="I700" t="s">
        <v>1128</v>
      </c>
      <c r="J700">
        <v>20</v>
      </c>
      <c r="K700" t="s">
        <v>56</v>
      </c>
      <c r="L700" t="s">
        <v>31</v>
      </c>
      <c r="M700" t="s">
        <v>57</v>
      </c>
      <c r="N700" t="s">
        <v>1057</v>
      </c>
      <c r="O700" t="s">
        <v>25</v>
      </c>
    </row>
    <row r="701" spans="1:15" x14ac:dyDescent="0.35">
      <c r="A701">
        <v>771048</v>
      </c>
      <c r="B701" t="s">
        <v>15</v>
      </c>
      <c r="C701" t="s">
        <v>26</v>
      </c>
      <c r="D701">
        <v>19</v>
      </c>
      <c r="E701" t="s">
        <v>35</v>
      </c>
      <c r="F701" s="1">
        <v>42405.915277777778</v>
      </c>
      <c r="G701" t="s">
        <v>578</v>
      </c>
      <c r="H701" t="s">
        <v>66</v>
      </c>
      <c r="I701" t="s">
        <v>1129</v>
      </c>
      <c r="J701">
        <v>21</v>
      </c>
      <c r="K701" t="s">
        <v>42</v>
      </c>
      <c r="L701" t="s">
        <v>50</v>
      </c>
      <c r="M701" t="s">
        <v>23</v>
      </c>
      <c r="N701" t="s">
        <v>69</v>
      </c>
      <c r="O701" t="s">
        <v>25</v>
      </c>
    </row>
    <row r="702" spans="1:15" x14ac:dyDescent="0.35">
      <c r="A702">
        <v>771048</v>
      </c>
      <c r="B702" t="s">
        <v>15</v>
      </c>
      <c r="C702" t="s">
        <v>26</v>
      </c>
      <c r="D702">
        <v>19</v>
      </c>
      <c r="E702" t="s">
        <v>35</v>
      </c>
      <c r="F702" s="1">
        <v>42406.856944444444</v>
      </c>
      <c r="G702" t="s">
        <v>716</v>
      </c>
      <c r="H702" t="s">
        <v>86</v>
      </c>
      <c r="I702" t="s">
        <v>1130</v>
      </c>
      <c r="J702">
        <v>20</v>
      </c>
      <c r="K702" t="s">
        <v>68</v>
      </c>
      <c r="L702" t="s">
        <v>50</v>
      </c>
      <c r="M702" t="s">
        <v>57</v>
      </c>
      <c r="N702" t="s">
        <v>69</v>
      </c>
      <c r="O702" t="s">
        <v>25</v>
      </c>
    </row>
    <row r="703" spans="1:15" x14ac:dyDescent="0.35">
      <c r="A703">
        <v>820456</v>
      </c>
      <c r="B703" t="s">
        <v>15</v>
      </c>
      <c r="C703" t="s">
        <v>78</v>
      </c>
      <c r="D703">
        <v>42</v>
      </c>
      <c r="E703" t="s">
        <v>35</v>
      </c>
      <c r="F703" s="1">
        <v>42396.645833333336</v>
      </c>
      <c r="G703" t="s">
        <v>389</v>
      </c>
      <c r="H703" t="s">
        <v>86</v>
      </c>
      <c r="I703" t="s">
        <v>1131</v>
      </c>
      <c r="J703">
        <v>15</v>
      </c>
      <c r="K703" t="s">
        <v>30</v>
      </c>
      <c r="L703" t="s">
        <v>22</v>
      </c>
      <c r="M703" t="s">
        <v>23</v>
      </c>
      <c r="N703" t="s">
        <v>93</v>
      </c>
      <c r="O703" t="s">
        <v>44</v>
      </c>
    </row>
    <row r="704" spans="1:15" x14ac:dyDescent="0.35">
      <c r="A704">
        <v>809039</v>
      </c>
      <c r="B704" t="s">
        <v>15</v>
      </c>
      <c r="C704" t="s">
        <v>39</v>
      </c>
      <c r="D704">
        <v>43</v>
      </c>
      <c r="E704" t="s">
        <v>75</v>
      </c>
      <c r="F704" s="1">
        <v>42419.725694444445</v>
      </c>
      <c r="G704" t="s">
        <v>481</v>
      </c>
      <c r="H704" t="s">
        <v>51</v>
      </c>
      <c r="I704" t="s">
        <v>1132</v>
      </c>
      <c r="J704">
        <v>17</v>
      </c>
      <c r="K704" t="s">
        <v>42</v>
      </c>
      <c r="L704" t="s">
        <v>50</v>
      </c>
      <c r="M704" t="s">
        <v>23</v>
      </c>
      <c r="N704" t="s">
        <v>93</v>
      </c>
      <c r="O704" t="s">
        <v>25</v>
      </c>
    </row>
    <row r="705" spans="1:15" x14ac:dyDescent="0.35">
      <c r="A705">
        <v>809039</v>
      </c>
      <c r="B705" t="s">
        <v>15</v>
      </c>
      <c r="C705" t="s">
        <v>39</v>
      </c>
      <c r="D705">
        <v>43</v>
      </c>
      <c r="E705" t="s">
        <v>75</v>
      </c>
      <c r="F705" s="1">
        <v>42419.726388888892</v>
      </c>
      <c r="G705" t="s">
        <v>143</v>
      </c>
      <c r="H705" t="s">
        <v>71</v>
      </c>
      <c r="I705" t="s">
        <v>1133</v>
      </c>
      <c r="J705">
        <v>17</v>
      </c>
      <c r="K705" t="s">
        <v>42</v>
      </c>
      <c r="L705" t="s">
        <v>50</v>
      </c>
      <c r="M705" t="s">
        <v>23</v>
      </c>
      <c r="N705" t="s">
        <v>93</v>
      </c>
      <c r="O705" t="s">
        <v>25</v>
      </c>
    </row>
    <row r="706" spans="1:15" x14ac:dyDescent="0.35">
      <c r="A706">
        <v>809039</v>
      </c>
      <c r="B706" t="s">
        <v>15</v>
      </c>
      <c r="C706" t="s">
        <v>39</v>
      </c>
      <c r="D706">
        <v>43</v>
      </c>
      <c r="E706" t="s">
        <v>75</v>
      </c>
      <c r="F706" s="1">
        <v>42419.747916666667</v>
      </c>
      <c r="G706" t="s">
        <v>96</v>
      </c>
      <c r="H706" t="s">
        <v>71</v>
      </c>
      <c r="I706" t="s">
        <v>1134</v>
      </c>
      <c r="J706">
        <v>17</v>
      </c>
      <c r="K706" t="s">
        <v>42</v>
      </c>
      <c r="L706" t="s">
        <v>50</v>
      </c>
      <c r="M706" t="s">
        <v>23</v>
      </c>
      <c r="N706" t="s">
        <v>93</v>
      </c>
      <c r="O706" t="s">
        <v>25</v>
      </c>
    </row>
    <row r="707" spans="1:15" x14ac:dyDescent="0.35">
      <c r="A707">
        <v>865408</v>
      </c>
      <c r="B707" t="s">
        <v>15</v>
      </c>
      <c r="C707" t="s">
        <v>78</v>
      </c>
      <c r="D707">
        <v>37</v>
      </c>
      <c r="E707" t="s">
        <v>335</v>
      </c>
      <c r="F707" s="1">
        <v>42445.749305555553</v>
      </c>
      <c r="G707" t="s">
        <v>65</v>
      </c>
      <c r="H707" t="s">
        <v>86</v>
      </c>
      <c r="I707" t="s">
        <v>1135</v>
      </c>
      <c r="J707">
        <v>17</v>
      </c>
      <c r="K707" t="s">
        <v>30</v>
      </c>
      <c r="L707" t="s">
        <v>31</v>
      </c>
      <c r="M707" t="s">
        <v>23</v>
      </c>
      <c r="N707" t="s">
        <v>24</v>
      </c>
      <c r="O707" t="s">
        <v>25</v>
      </c>
    </row>
    <row r="708" spans="1:15" x14ac:dyDescent="0.35">
      <c r="A708">
        <v>831810</v>
      </c>
      <c r="B708" t="s">
        <v>15</v>
      </c>
      <c r="C708" t="s">
        <v>34</v>
      </c>
      <c r="D708">
        <v>24</v>
      </c>
      <c r="E708" t="s">
        <v>64</v>
      </c>
      <c r="F708" s="1">
        <v>42431.500694444447</v>
      </c>
      <c r="G708" t="s">
        <v>312</v>
      </c>
      <c r="H708" t="s">
        <v>19</v>
      </c>
      <c r="I708" t="s">
        <v>1136</v>
      </c>
      <c r="J708">
        <v>12</v>
      </c>
      <c r="K708" t="s">
        <v>30</v>
      </c>
      <c r="L708" t="s">
        <v>31</v>
      </c>
      <c r="M708" t="s">
        <v>23</v>
      </c>
      <c r="N708" t="s">
        <v>69</v>
      </c>
      <c r="O708" t="s">
        <v>44</v>
      </c>
    </row>
    <row r="709" spans="1:15" x14ac:dyDescent="0.35">
      <c r="A709">
        <v>831810</v>
      </c>
      <c r="B709" t="s">
        <v>15</v>
      </c>
      <c r="C709" t="s">
        <v>34</v>
      </c>
      <c r="D709">
        <v>24</v>
      </c>
      <c r="E709" t="s">
        <v>64</v>
      </c>
      <c r="F709" s="1">
        <v>42435.508333333331</v>
      </c>
      <c r="G709" t="s">
        <v>1137</v>
      </c>
      <c r="H709" t="s">
        <v>51</v>
      </c>
      <c r="I709" t="s">
        <v>1138</v>
      </c>
      <c r="J709">
        <v>12</v>
      </c>
      <c r="K709" t="s">
        <v>56</v>
      </c>
      <c r="L709" t="s">
        <v>31</v>
      </c>
      <c r="M709" t="s">
        <v>57</v>
      </c>
      <c r="N709" t="s">
        <v>69</v>
      </c>
      <c r="O709" t="s">
        <v>44</v>
      </c>
    </row>
    <row r="710" spans="1:15" x14ac:dyDescent="0.35">
      <c r="A710">
        <v>904273</v>
      </c>
      <c r="B710" t="s">
        <v>15</v>
      </c>
      <c r="C710" t="s">
        <v>39</v>
      </c>
      <c r="D710">
        <v>31</v>
      </c>
      <c r="E710" t="s">
        <v>35</v>
      </c>
      <c r="F710" s="1">
        <v>42453.239583333336</v>
      </c>
      <c r="G710" t="s">
        <v>168</v>
      </c>
      <c r="H710" t="s">
        <v>51</v>
      </c>
      <c r="I710" t="s">
        <v>1139</v>
      </c>
      <c r="J710">
        <v>5</v>
      </c>
      <c r="K710" t="s">
        <v>63</v>
      </c>
      <c r="L710" t="s">
        <v>31</v>
      </c>
      <c r="M710" t="s">
        <v>23</v>
      </c>
      <c r="N710" t="s">
        <v>24</v>
      </c>
      <c r="O710" t="s">
        <v>33</v>
      </c>
    </row>
    <row r="711" spans="1:15" x14ac:dyDescent="0.35">
      <c r="A711">
        <v>904274</v>
      </c>
      <c r="B711" t="s">
        <v>15</v>
      </c>
      <c r="C711" t="s">
        <v>26</v>
      </c>
      <c r="D711">
        <v>23</v>
      </c>
      <c r="E711" t="s">
        <v>35</v>
      </c>
      <c r="F711" s="1">
        <v>42460.336111111108</v>
      </c>
      <c r="G711" t="s">
        <v>899</v>
      </c>
      <c r="H711" t="s">
        <v>106</v>
      </c>
      <c r="I711" t="s">
        <v>1140</v>
      </c>
      <c r="J711">
        <v>8</v>
      </c>
      <c r="K711" t="s">
        <v>63</v>
      </c>
      <c r="L711" t="s">
        <v>31</v>
      </c>
      <c r="M711" t="s">
        <v>23</v>
      </c>
      <c r="N711" t="s">
        <v>69</v>
      </c>
      <c r="O711" t="s">
        <v>33</v>
      </c>
    </row>
    <row r="712" spans="1:15" x14ac:dyDescent="0.35">
      <c r="A712">
        <v>904274</v>
      </c>
      <c r="B712" t="s">
        <v>15</v>
      </c>
      <c r="C712" t="s">
        <v>26</v>
      </c>
      <c r="D712">
        <v>23</v>
      </c>
      <c r="E712" t="s">
        <v>35</v>
      </c>
      <c r="F712" s="1">
        <v>42459.504166666666</v>
      </c>
      <c r="G712" t="s">
        <v>1141</v>
      </c>
      <c r="H712" t="s">
        <v>28</v>
      </c>
      <c r="I712" t="s">
        <v>1142</v>
      </c>
      <c r="J712">
        <v>12</v>
      </c>
      <c r="K712" t="s">
        <v>30</v>
      </c>
      <c r="L712" t="s">
        <v>31</v>
      </c>
      <c r="M712" t="s">
        <v>23</v>
      </c>
      <c r="N712" t="s">
        <v>69</v>
      </c>
      <c r="O712" t="s">
        <v>44</v>
      </c>
    </row>
    <row r="713" spans="1:15" x14ac:dyDescent="0.35">
      <c r="A713">
        <v>904274</v>
      </c>
      <c r="B713" t="s">
        <v>15</v>
      </c>
      <c r="C713" t="s">
        <v>26</v>
      </c>
      <c r="D713">
        <v>23</v>
      </c>
      <c r="E713" t="s">
        <v>35</v>
      </c>
      <c r="F713" s="1">
        <v>42459.497916666667</v>
      </c>
      <c r="G713" t="s">
        <v>1143</v>
      </c>
      <c r="H713" t="s">
        <v>28</v>
      </c>
      <c r="I713" t="s">
        <v>1144</v>
      </c>
      <c r="J713">
        <v>11</v>
      </c>
      <c r="K713" t="s">
        <v>30</v>
      </c>
      <c r="L713" t="s">
        <v>31</v>
      </c>
      <c r="M713" t="s">
        <v>23</v>
      </c>
      <c r="N713" t="s">
        <v>69</v>
      </c>
      <c r="O713" t="s">
        <v>44</v>
      </c>
    </row>
    <row r="714" spans="1:15" x14ac:dyDescent="0.35">
      <c r="A714">
        <v>866251</v>
      </c>
      <c r="B714" t="s">
        <v>15</v>
      </c>
      <c r="C714" t="s">
        <v>78</v>
      </c>
      <c r="D714">
        <v>30</v>
      </c>
      <c r="E714" t="s">
        <v>35</v>
      </c>
      <c r="F714" s="1">
        <v>42432.772222222222</v>
      </c>
      <c r="G714" t="s">
        <v>1145</v>
      </c>
      <c r="H714" t="s">
        <v>19</v>
      </c>
      <c r="I714" t="s">
        <v>1146</v>
      </c>
      <c r="J714">
        <v>18</v>
      </c>
      <c r="K714" t="s">
        <v>63</v>
      </c>
      <c r="L714" t="s">
        <v>31</v>
      </c>
      <c r="M714" t="s">
        <v>23</v>
      </c>
      <c r="N714" t="s">
        <v>24</v>
      </c>
      <c r="O714" t="s">
        <v>25</v>
      </c>
    </row>
    <row r="715" spans="1:15" x14ac:dyDescent="0.35">
      <c r="A715">
        <v>2420980</v>
      </c>
      <c r="B715" t="s">
        <v>15</v>
      </c>
      <c r="C715" t="s">
        <v>78</v>
      </c>
      <c r="D715">
        <v>43</v>
      </c>
      <c r="E715" t="s">
        <v>64</v>
      </c>
      <c r="F715" s="1">
        <v>42450.408333333333</v>
      </c>
      <c r="G715" t="s">
        <v>668</v>
      </c>
      <c r="H715" t="s">
        <v>51</v>
      </c>
      <c r="I715" t="s">
        <v>1147</v>
      </c>
      <c r="J715">
        <v>9</v>
      </c>
      <c r="K715" t="s">
        <v>21</v>
      </c>
      <c r="L715" t="s">
        <v>31</v>
      </c>
      <c r="M715" t="s">
        <v>23</v>
      </c>
      <c r="N715" t="s">
        <v>93</v>
      </c>
      <c r="O715" t="s">
        <v>33</v>
      </c>
    </row>
    <row r="716" spans="1:15" x14ac:dyDescent="0.35">
      <c r="A716">
        <v>788751</v>
      </c>
      <c r="B716" t="s">
        <v>15</v>
      </c>
      <c r="C716" t="s">
        <v>16</v>
      </c>
      <c r="D716">
        <v>26</v>
      </c>
      <c r="E716" t="s">
        <v>17</v>
      </c>
      <c r="F716" s="1">
        <v>42401.899305555555</v>
      </c>
      <c r="G716" t="s">
        <v>1148</v>
      </c>
      <c r="H716" t="s">
        <v>86</v>
      </c>
      <c r="I716" t="s">
        <v>1149</v>
      </c>
      <c r="J716">
        <v>21</v>
      </c>
      <c r="K716" t="s">
        <v>21</v>
      </c>
      <c r="L716" t="s">
        <v>50</v>
      </c>
      <c r="M716" t="s">
        <v>23</v>
      </c>
      <c r="N716" t="s">
        <v>69</v>
      </c>
      <c r="O716" t="s">
        <v>25</v>
      </c>
    </row>
    <row r="717" spans="1:15" x14ac:dyDescent="0.35">
      <c r="A717">
        <v>892573</v>
      </c>
      <c r="B717" t="s">
        <v>15</v>
      </c>
      <c r="C717" t="s">
        <v>26</v>
      </c>
      <c r="D717">
        <v>47</v>
      </c>
      <c r="E717" t="s">
        <v>75</v>
      </c>
      <c r="F717" s="1">
        <v>42448.703472222223</v>
      </c>
      <c r="G717" t="s">
        <v>481</v>
      </c>
      <c r="H717" t="s">
        <v>86</v>
      </c>
      <c r="I717" t="s">
        <v>1150</v>
      </c>
      <c r="J717">
        <v>16</v>
      </c>
      <c r="K717" t="s">
        <v>68</v>
      </c>
      <c r="L717" t="s">
        <v>31</v>
      </c>
      <c r="M717" t="s">
        <v>57</v>
      </c>
      <c r="N717" t="s">
        <v>93</v>
      </c>
      <c r="O717" t="s">
        <v>44</v>
      </c>
    </row>
    <row r="718" spans="1:15" x14ac:dyDescent="0.35">
      <c r="A718">
        <v>809043</v>
      </c>
      <c r="B718" t="s">
        <v>15</v>
      </c>
      <c r="C718" t="s">
        <v>78</v>
      </c>
      <c r="D718">
        <v>34</v>
      </c>
      <c r="E718" t="s">
        <v>35</v>
      </c>
      <c r="F718" s="1">
        <v>42419.173611111109</v>
      </c>
      <c r="G718" t="s">
        <v>1151</v>
      </c>
      <c r="H718" t="s">
        <v>19</v>
      </c>
      <c r="I718" t="s">
        <v>1152</v>
      </c>
      <c r="J718">
        <v>4</v>
      </c>
      <c r="K718" t="s">
        <v>42</v>
      </c>
      <c r="L718" t="s">
        <v>50</v>
      </c>
      <c r="M718" t="s">
        <v>23</v>
      </c>
      <c r="N718" t="s">
        <v>24</v>
      </c>
      <c r="O718" t="s">
        <v>58</v>
      </c>
    </row>
    <row r="719" spans="1:15" x14ac:dyDescent="0.35">
      <c r="A719">
        <v>809043</v>
      </c>
      <c r="B719" t="s">
        <v>15</v>
      </c>
      <c r="C719" t="s">
        <v>78</v>
      </c>
      <c r="D719">
        <v>34</v>
      </c>
      <c r="E719" t="s">
        <v>35</v>
      </c>
      <c r="F719" s="1">
        <v>42421.826388888891</v>
      </c>
      <c r="G719" t="s">
        <v>125</v>
      </c>
      <c r="H719" t="s">
        <v>71</v>
      </c>
      <c r="I719" t="s">
        <v>1153</v>
      </c>
      <c r="J719">
        <v>19</v>
      </c>
      <c r="K719" t="s">
        <v>56</v>
      </c>
      <c r="L719" t="s">
        <v>50</v>
      </c>
      <c r="M719" t="s">
        <v>57</v>
      </c>
      <c r="N719" t="s">
        <v>24</v>
      </c>
      <c r="O719" t="s">
        <v>25</v>
      </c>
    </row>
    <row r="720" spans="1:15" x14ac:dyDescent="0.35">
      <c r="A720">
        <v>809043</v>
      </c>
      <c r="B720" t="s">
        <v>15</v>
      </c>
      <c r="C720" t="s">
        <v>78</v>
      </c>
      <c r="D720">
        <v>34</v>
      </c>
      <c r="E720" t="s">
        <v>35</v>
      </c>
      <c r="F720" s="1">
        <v>42435.531944444447</v>
      </c>
      <c r="G720" t="s">
        <v>18</v>
      </c>
      <c r="H720" t="s">
        <v>71</v>
      </c>
      <c r="I720" t="s">
        <v>1154</v>
      </c>
      <c r="J720">
        <v>12</v>
      </c>
      <c r="K720" t="s">
        <v>56</v>
      </c>
      <c r="L720" t="s">
        <v>31</v>
      </c>
      <c r="M720" t="s">
        <v>57</v>
      </c>
      <c r="N720" t="s">
        <v>24</v>
      </c>
      <c r="O720" t="s">
        <v>44</v>
      </c>
    </row>
    <row r="721" spans="1:15" x14ac:dyDescent="0.35">
      <c r="A721">
        <v>939712</v>
      </c>
      <c r="B721" t="s">
        <v>15</v>
      </c>
      <c r="C721" t="s">
        <v>78</v>
      </c>
      <c r="D721">
        <v>42</v>
      </c>
      <c r="E721" t="s">
        <v>17</v>
      </c>
      <c r="F721" s="1">
        <v>42452.261111111111</v>
      </c>
      <c r="G721" t="s">
        <v>387</v>
      </c>
      <c r="H721" t="s">
        <v>106</v>
      </c>
      <c r="I721" t="s">
        <v>1155</v>
      </c>
      <c r="J721">
        <v>6</v>
      </c>
      <c r="K721" t="s">
        <v>30</v>
      </c>
      <c r="L721" t="s">
        <v>31</v>
      </c>
      <c r="M721" t="s">
        <v>23</v>
      </c>
      <c r="N721" t="s">
        <v>93</v>
      </c>
      <c r="O721" t="s">
        <v>33</v>
      </c>
    </row>
    <row r="722" spans="1:15" x14ac:dyDescent="0.35">
      <c r="A722">
        <v>939712</v>
      </c>
      <c r="B722" t="s">
        <v>15</v>
      </c>
      <c r="C722" t="s">
        <v>78</v>
      </c>
      <c r="D722">
        <v>42</v>
      </c>
      <c r="E722" t="s">
        <v>17</v>
      </c>
      <c r="F722" s="1">
        <v>42449.540972222225</v>
      </c>
      <c r="G722" t="s">
        <v>114</v>
      </c>
      <c r="H722" t="s">
        <v>71</v>
      </c>
      <c r="I722" t="s">
        <v>1156</v>
      </c>
      <c r="J722">
        <v>12</v>
      </c>
      <c r="K722" t="s">
        <v>56</v>
      </c>
      <c r="L722" t="s">
        <v>31</v>
      </c>
      <c r="M722" t="s">
        <v>57</v>
      </c>
      <c r="N722" t="s">
        <v>93</v>
      </c>
      <c r="O722" t="s">
        <v>44</v>
      </c>
    </row>
    <row r="723" spans="1:15" x14ac:dyDescent="0.35">
      <c r="A723">
        <v>817317</v>
      </c>
      <c r="B723" t="s">
        <v>15</v>
      </c>
      <c r="C723" t="s">
        <v>16</v>
      </c>
      <c r="D723">
        <v>53</v>
      </c>
      <c r="E723" t="s">
        <v>17</v>
      </c>
      <c r="F723" s="1">
        <v>42433.587500000001</v>
      </c>
      <c r="G723" t="s">
        <v>233</v>
      </c>
      <c r="H723" t="s">
        <v>47</v>
      </c>
      <c r="I723" t="s">
        <v>1157</v>
      </c>
      <c r="J723">
        <v>14</v>
      </c>
      <c r="K723" t="s">
        <v>42</v>
      </c>
      <c r="L723" t="s">
        <v>31</v>
      </c>
      <c r="M723" t="s">
        <v>23</v>
      </c>
      <c r="N723" t="s">
        <v>43</v>
      </c>
      <c r="O723" t="s">
        <v>44</v>
      </c>
    </row>
    <row r="724" spans="1:15" x14ac:dyDescent="0.35">
      <c r="A724">
        <v>817317</v>
      </c>
      <c r="B724" t="s">
        <v>15</v>
      </c>
      <c r="C724" t="s">
        <v>16</v>
      </c>
      <c r="D724">
        <v>53</v>
      </c>
      <c r="E724" t="s">
        <v>17</v>
      </c>
      <c r="F724" s="1">
        <v>42433.589583333334</v>
      </c>
      <c r="G724" t="s">
        <v>40</v>
      </c>
      <c r="H724" t="s">
        <v>225</v>
      </c>
      <c r="I724" t="s">
        <v>1158</v>
      </c>
      <c r="J724">
        <v>14</v>
      </c>
      <c r="K724" t="s">
        <v>42</v>
      </c>
      <c r="L724" t="s">
        <v>31</v>
      </c>
      <c r="M724" t="s">
        <v>23</v>
      </c>
      <c r="N724" t="s">
        <v>43</v>
      </c>
      <c r="O724" t="s">
        <v>44</v>
      </c>
    </row>
    <row r="725" spans="1:15" x14ac:dyDescent="0.35">
      <c r="A725">
        <v>817317</v>
      </c>
      <c r="B725" t="s">
        <v>15</v>
      </c>
      <c r="C725" t="s">
        <v>16</v>
      </c>
      <c r="D725">
        <v>53</v>
      </c>
      <c r="E725" t="s">
        <v>17</v>
      </c>
      <c r="F725" s="1">
        <v>42406.529861111114</v>
      </c>
      <c r="G725" t="s">
        <v>181</v>
      </c>
      <c r="H725" t="s">
        <v>51</v>
      </c>
      <c r="I725" t="s">
        <v>1159</v>
      </c>
      <c r="J725">
        <v>12</v>
      </c>
      <c r="K725" t="s">
        <v>68</v>
      </c>
      <c r="L725" t="s">
        <v>50</v>
      </c>
      <c r="M725" t="s">
        <v>57</v>
      </c>
      <c r="N725" t="s">
        <v>43</v>
      </c>
      <c r="O725" t="s">
        <v>44</v>
      </c>
    </row>
    <row r="726" spans="1:15" x14ac:dyDescent="0.35">
      <c r="A726">
        <v>817317</v>
      </c>
      <c r="B726" t="s">
        <v>15</v>
      </c>
      <c r="C726" t="s">
        <v>16</v>
      </c>
      <c r="D726">
        <v>53</v>
      </c>
      <c r="E726" t="s">
        <v>17</v>
      </c>
      <c r="F726" s="1">
        <v>42423.668749999997</v>
      </c>
      <c r="G726" t="s">
        <v>1051</v>
      </c>
      <c r="H726" t="s">
        <v>28</v>
      </c>
      <c r="I726" t="s">
        <v>1160</v>
      </c>
      <c r="J726">
        <v>16</v>
      </c>
      <c r="K726" t="s">
        <v>49</v>
      </c>
      <c r="L726" t="s">
        <v>50</v>
      </c>
      <c r="M726" t="s">
        <v>23</v>
      </c>
      <c r="N726" t="s">
        <v>43</v>
      </c>
      <c r="O726" t="s">
        <v>44</v>
      </c>
    </row>
    <row r="727" spans="1:15" x14ac:dyDescent="0.35">
      <c r="A727">
        <v>817317</v>
      </c>
      <c r="B727" t="s">
        <v>15</v>
      </c>
      <c r="C727" t="s">
        <v>16</v>
      </c>
      <c r="D727">
        <v>53</v>
      </c>
      <c r="E727" t="s">
        <v>17</v>
      </c>
      <c r="F727" s="1">
        <v>42423.674305555556</v>
      </c>
      <c r="G727" t="s">
        <v>139</v>
      </c>
      <c r="H727" t="s">
        <v>102</v>
      </c>
      <c r="I727" t="s">
        <v>1161</v>
      </c>
      <c r="J727">
        <v>16</v>
      </c>
      <c r="K727" t="s">
        <v>49</v>
      </c>
      <c r="L727" t="s">
        <v>50</v>
      </c>
      <c r="M727" t="s">
        <v>23</v>
      </c>
      <c r="N727" t="s">
        <v>43</v>
      </c>
      <c r="O727" t="s">
        <v>44</v>
      </c>
    </row>
    <row r="728" spans="1:15" x14ac:dyDescent="0.35">
      <c r="A728">
        <v>817317</v>
      </c>
      <c r="B728" t="s">
        <v>15</v>
      </c>
      <c r="C728" t="s">
        <v>16</v>
      </c>
      <c r="D728">
        <v>53</v>
      </c>
      <c r="E728" t="s">
        <v>17</v>
      </c>
      <c r="F728" s="1">
        <v>42454.57916666667</v>
      </c>
      <c r="G728" t="s">
        <v>361</v>
      </c>
      <c r="H728" t="s">
        <v>54</v>
      </c>
      <c r="I728" t="s">
        <v>1162</v>
      </c>
      <c r="J728">
        <v>13</v>
      </c>
      <c r="K728" t="s">
        <v>42</v>
      </c>
      <c r="L728" t="s">
        <v>31</v>
      </c>
      <c r="M728" t="s">
        <v>23</v>
      </c>
      <c r="N728" t="s">
        <v>43</v>
      </c>
      <c r="O728" t="s">
        <v>44</v>
      </c>
    </row>
    <row r="729" spans="1:15" x14ac:dyDescent="0.35">
      <c r="A729">
        <v>771911</v>
      </c>
      <c r="B729" t="s">
        <v>15</v>
      </c>
      <c r="C729" t="s">
        <v>78</v>
      </c>
      <c r="D729">
        <v>25</v>
      </c>
      <c r="E729" t="s">
        <v>335</v>
      </c>
      <c r="F729" s="1">
        <v>42414.81527777778</v>
      </c>
      <c r="G729" t="s">
        <v>145</v>
      </c>
      <c r="H729" t="s">
        <v>71</v>
      </c>
      <c r="I729" t="s">
        <v>1163</v>
      </c>
      <c r="J729">
        <v>19</v>
      </c>
      <c r="K729" t="s">
        <v>56</v>
      </c>
      <c r="L729" t="s">
        <v>50</v>
      </c>
      <c r="M729" t="s">
        <v>57</v>
      </c>
      <c r="N729" t="s">
        <v>69</v>
      </c>
      <c r="O729" t="s">
        <v>25</v>
      </c>
    </row>
    <row r="730" spans="1:15" x14ac:dyDescent="0.35">
      <c r="A730">
        <v>771911</v>
      </c>
      <c r="B730" t="s">
        <v>15</v>
      </c>
      <c r="C730" t="s">
        <v>78</v>
      </c>
      <c r="D730">
        <v>25</v>
      </c>
      <c r="E730" t="s">
        <v>335</v>
      </c>
      <c r="F730" s="1">
        <v>42402.732638888891</v>
      </c>
      <c r="G730" t="s">
        <v>771</v>
      </c>
      <c r="H730" t="s">
        <v>71</v>
      </c>
      <c r="I730" t="s">
        <v>1164</v>
      </c>
      <c r="J730">
        <v>17</v>
      </c>
      <c r="K730" t="s">
        <v>49</v>
      </c>
      <c r="L730" t="s">
        <v>50</v>
      </c>
      <c r="M730" t="s">
        <v>23</v>
      </c>
      <c r="N730" t="s">
        <v>69</v>
      </c>
      <c r="O730" t="s">
        <v>25</v>
      </c>
    </row>
    <row r="731" spans="1:15" x14ac:dyDescent="0.35">
      <c r="A731">
        <v>771911</v>
      </c>
      <c r="B731" t="s">
        <v>15</v>
      </c>
      <c r="C731" t="s">
        <v>78</v>
      </c>
      <c r="D731">
        <v>25</v>
      </c>
      <c r="E731" t="s">
        <v>335</v>
      </c>
      <c r="F731" s="1">
        <v>42402.034722222219</v>
      </c>
      <c r="G731" t="s">
        <v>903</v>
      </c>
      <c r="H731" t="s">
        <v>47</v>
      </c>
      <c r="I731" t="s">
        <v>1165</v>
      </c>
      <c r="J731">
        <v>0</v>
      </c>
      <c r="K731" t="s">
        <v>49</v>
      </c>
      <c r="L731" t="s">
        <v>50</v>
      </c>
      <c r="M731" t="s">
        <v>23</v>
      </c>
      <c r="N731" t="s">
        <v>69</v>
      </c>
      <c r="O731" t="s">
        <v>58</v>
      </c>
    </row>
    <row r="732" spans="1:15" x14ac:dyDescent="0.35">
      <c r="A732">
        <v>771911</v>
      </c>
      <c r="B732" t="s">
        <v>15</v>
      </c>
      <c r="C732" t="s">
        <v>78</v>
      </c>
      <c r="D732">
        <v>25</v>
      </c>
      <c r="E732" t="s">
        <v>335</v>
      </c>
      <c r="F732" s="1">
        <v>42402.022916666669</v>
      </c>
      <c r="G732" t="s">
        <v>1088</v>
      </c>
      <c r="H732" t="s">
        <v>86</v>
      </c>
      <c r="I732" t="s">
        <v>1166</v>
      </c>
      <c r="J732">
        <v>0</v>
      </c>
      <c r="K732" t="s">
        <v>49</v>
      </c>
      <c r="L732" t="s">
        <v>50</v>
      </c>
      <c r="M732" t="s">
        <v>23</v>
      </c>
      <c r="N732" t="s">
        <v>69</v>
      </c>
      <c r="O732" t="s">
        <v>58</v>
      </c>
    </row>
    <row r="733" spans="1:15" x14ac:dyDescent="0.35">
      <c r="A733">
        <v>771911</v>
      </c>
      <c r="B733" t="s">
        <v>15</v>
      </c>
      <c r="C733" t="s">
        <v>78</v>
      </c>
      <c r="D733">
        <v>25</v>
      </c>
      <c r="E733" t="s">
        <v>335</v>
      </c>
      <c r="F733" s="1">
        <v>42437.432638888888</v>
      </c>
      <c r="G733" t="s">
        <v>1167</v>
      </c>
      <c r="H733" t="s">
        <v>19</v>
      </c>
      <c r="I733" t="s">
        <v>1168</v>
      </c>
      <c r="J733">
        <v>10</v>
      </c>
      <c r="K733" t="s">
        <v>49</v>
      </c>
      <c r="L733" t="s">
        <v>31</v>
      </c>
      <c r="M733" t="s">
        <v>23</v>
      </c>
      <c r="N733" t="s">
        <v>69</v>
      </c>
      <c r="O733" t="s">
        <v>33</v>
      </c>
    </row>
    <row r="734" spans="1:15" x14ac:dyDescent="0.35">
      <c r="A734">
        <v>771911</v>
      </c>
      <c r="B734" t="s">
        <v>15</v>
      </c>
      <c r="C734" t="s">
        <v>78</v>
      </c>
      <c r="D734">
        <v>25</v>
      </c>
      <c r="E734" t="s">
        <v>335</v>
      </c>
      <c r="F734" s="1">
        <v>42435.518055555556</v>
      </c>
      <c r="G734" t="s">
        <v>27</v>
      </c>
      <c r="H734" t="s">
        <v>28</v>
      </c>
      <c r="I734" t="s">
        <v>1169</v>
      </c>
      <c r="J734">
        <v>12</v>
      </c>
      <c r="K734" t="s">
        <v>56</v>
      </c>
      <c r="L734" t="s">
        <v>31</v>
      </c>
      <c r="M734" t="s">
        <v>57</v>
      </c>
      <c r="N734" t="s">
        <v>69</v>
      </c>
      <c r="O734" t="s">
        <v>44</v>
      </c>
    </row>
    <row r="735" spans="1:15" x14ac:dyDescent="0.35">
      <c r="A735">
        <v>916065</v>
      </c>
      <c r="B735" t="s">
        <v>15</v>
      </c>
      <c r="C735" t="s">
        <v>39</v>
      </c>
      <c r="D735">
        <v>16</v>
      </c>
      <c r="E735" t="s">
        <v>335</v>
      </c>
      <c r="F735" s="1">
        <v>42455.375694444447</v>
      </c>
      <c r="G735" t="s">
        <v>1170</v>
      </c>
      <c r="H735" t="s">
        <v>28</v>
      </c>
      <c r="I735" t="s">
        <v>1171</v>
      </c>
      <c r="J735">
        <v>9</v>
      </c>
      <c r="K735" t="s">
        <v>68</v>
      </c>
      <c r="L735" t="s">
        <v>31</v>
      </c>
      <c r="M735" t="s">
        <v>57</v>
      </c>
      <c r="N735" t="s">
        <v>32</v>
      </c>
      <c r="O735" t="s">
        <v>33</v>
      </c>
    </row>
    <row r="736" spans="1:15" x14ac:dyDescent="0.35">
      <c r="A736">
        <v>2360384</v>
      </c>
      <c r="B736" t="s">
        <v>15</v>
      </c>
      <c r="C736" t="s">
        <v>78</v>
      </c>
      <c r="D736">
        <v>37</v>
      </c>
      <c r="E736" t="s">
        <v>75</v>
      </c>
      <c r="F736" s="1">
        <v>42408.506249999999</v>
      </c>
      <c r="G736" t="s">
        <v>1172</v>
      </c>
      <c r="H736" t="s">
        <v>51</v>
      </c>
      <c r="I736" t="s">
        <v>1173</v>
      </c>
      <c r="J736">
        <v>12</v>
      </c>
      <c r="K736" t="s">
        <v>21</v>
      </c>
      <c r="L736" t="s">
        <v>50</v>
      </c>
      <c r="M736" t="s">
        <v>23</v>
      </c>
      <c r="N736" t="s">
        <v>24</v>
      </c>
      <c r="O736" t="s">
        <v>44</v>
      </c>
    </row>
    <row r="737" spans="1:15" x14ac:dyDescent="0.35">
      <c r="A737">
        <v>809045</v>
      </c>
      <c r="B737" t="s">
        <v>15</v>
      </c>
      <c r="C737" t="s">
        <v>16</v>
      </c>
      <c r="D737">
        <v>38</v>
      </c>
      <c r="E737" t="s">
        <v>17</v>
      </c>
      <c r="F737" s="1">
        <v>42418.884027777778</v>
      </c>
      <c r="G737" t="s">
        <v>40</v>
      </c>
      <c r="H737" t="s">
        <v>66</v>
      </c>
      <c r="I737" t="s">
        <v>1174</v>
      </c>
      <c r="J737">
        <v>21</v>
      </c>
      <c r="K737" t="s">
        <v>63</v>
      </c>
      <c r="L737" t="s">
        <v>50</v>
      </c>
      <c r="M737" t="s">
        <v>23</v>
      </c>
      <c r="N737" t="s">
        <v>24</v>
      </c>
      <c r="O737" t="s">
        <v>25</v>
      </c>
    </row>
    <row r="738" spans="1:15" x14ac:dyDescent="0.35">
      <c r="A738">
        <v>809045</v>
      </c>
      <c r="B738" t="s">
        <v>15</v>
      </c>
      <c r="C738" t="s">
        <v>16</v>
      </c>
      <c r="D738">
        <v>38</v>
      </c>
      <c r="E738" t="s">
        <v>17</v>
      </c>
      <c r="F738" s="1">
        <v>42427.830555555556</v>
      </c>
      <c r="G738" t="s">
        <v>405</v>
      </c>
      <c r="H738" t="s">
        <v>51</v>
      </c>
      <c r="I738" t="s">
        <v>1175</v>
      </c>
      <c r="J738">
        <v>19</v>
      </c>
      <c r="K738" t="s">
        <v>68</v>
      </c>
      <c r="L738" t="s">
        <v>50</v>
      </c>
      <c r="M738" t="s">
        <v>57</v>
      </c>
      <c r="N738" t="s">
        <v>24</v>
      </c>
      <c r="O738" t="s">
        <v>25</v>
      </c>
    </row>
    <row r="739" spans="1:15" x14ac:dyDescent="0.35">
      <c r="A739">
        <v>859389</v>
      </c>
      <c r="B739" t="s">
        <v>15</v>
      </c>
      <c r="C739" t="s">
        <v>39</v>
      </c>
      <c r="D739">
        <v>42</v>
      </c>
      <c r="E739" t="s">
        <v>75</v>
      </c>
      <c r="F739" s="1">
        <v>42455.677083333336</v>
      </c>
      <c r="G739" t="s">
        <v>979</v>
      </c>
      <c r="H739" t="s">
        <v>71</v>
      </c>
      <c r="I739" t="s">
        <v>1176</v>
      </c>
      <c r="J739">
        <v>16</v>
      </c>
      <c r="K739" t="s">
        <v>68</v>
      </c>
      <c r="L739" t="s">
        <v>31</v>
      </c>
      <c r="M739" t="s">
        <v>57</v>
      </c>
      <c r="N739" t="s">
        <v>93</v>
      </c>
      <c r="O739" t="s">
        <v>44</v>
      </c>
    </row>
    <row r="740" spans="1:15" x14ac:dyDescent="0.35">
      <c r="A740">
        <v>866255</v>
      </c>
      <c r="B740" t="s">
        <v>15</v>
      </c>
      <c r="C740" t="s">
        <v>39</v>
      </c>
      <c r="D740">
        <v>24</v>
      </c>
      <c r="E740" t="s">
        <v>335</v>
      </c>
      <c r="F740" s="1">
        <v>42434.50277777778</v>
      </c>
      <c r="G740" t="s">
        <v>1177</v>
      </c>
      <c r="H740" t="s">
        <v>28</v>
      </c>
      <c r="I740" t="s">
        <v>1178</v>
      </c>
      <c r="J740">
        <v>12</v>
      </c>
      <c r="K740" t="s">
        <v>68</v>
      </c>
      <c r="L740" t="s">
        <v>31</v>
      </c>
      <c r="M740" t="s">
        <v>57</v>
      </c>
      <c r="N740" t="s">
        <v>69</v>
      </c>
      <c r="O740" t="s">
        <v>44</v>
      </c>
    </row>
    <row r="741" spans="1:15" x14ac:dyDescent="0.35">
      <c r="A741">
        <v>939713</v>
      </c>
      <c r="B741" t="s">
        <v>15</v>
      </c>
      <c r="C741" t="s">
        <v>16</v>
      </c>
      <c r="D741">
        <v>26</v>
      </c>
      <c r="E741" t="s">
        <v>195</v>
      </c>
      <c r="F741" s="1">
        <v>42433.879166666666</v>
      </c>
      <c r="G741" t="s">
        <v>145</v>
      </c>
      <c r="H741" t="s">
        <v>91</v>
      </c>
      <c r="I741" t="s">
        <v>1179</v>
      </c>
      <c r="J741">
        <v>21</v>
      </c>
      <c r="K741" t="s">
        <v>42</v>
      </c>
      <c r="L741" t="s">
        <v>31</v>
      </c>
      <c r="M741" t="s">
        <v>23</v>
      </c>
      <c r="N741" t="s">
        <v>69</v>
      </c>
      <c r="O741" t="s">
        <v>25</v>
      </c>
    </row>
    <row r="742" spans="1:15" x14ac:dyDescent="0.35">
      <c r="A742">
        <v>892577</v>
      </c>
      <c r="B742" t="s">
        <v>15</v>
      </c>
      <c r="C742" t="s">
        <v>78</v>
      </c>
      <c r="D742">
        <v>30</v>
      </c>
      <c r="E742" t="s">
        <v>75</v>
      </c>
      <c r="F742" s="1">
        <v>42449.543749999997</v>
      </c>
      <c r="G742" t="s">
        <v>1180</v>
      </c>
      <c r="H742" t="s">
        <v>86</v>
      </c>
      <c r="I742" t="s">
        <v>1181</v>
      </c>
      <c r="J742">
        <v>13</v>
      </c>
      <c r="K742" t="s">
        <v>56</v>
      </c>
      <c r="L742" t="s">
        <v>31</v>
      </c>
      <c r="M742" t="s">
        <v>57</v>
      </c>
      <c r="N742" t="s">
        <v>24</v>
      </c>
      <c r="O742" t="s">
        <v>44</v>
      </c>
    </row>
    <row r="743" spans="1:15" x14ac:dyDescent="0.35">
      <c r="A743">
        <v>893061</v>
      </c>
      <c r="B743" t="s">
        <v>15</v>
      </c>
      <c r="C743" t="s">
        <v>78</v>
      </c>
      <c r="D743">
        <v>28</v>
      </c>
      <c r="E743" t="s">
        <v>35</v>
      </c>
      <c r="F743" s="1">
        <v>42446.574999999997</v>
      </c>
      <c r="G743" t="s">
        <v>1126</v>
      </c>
      <c r="H743" t="s">
        <v>51</v>
      </c>
      <c r="I743" t="s">
        <v>1182</v>
      </c>
      <c r="J743">
        <v>13</v>
      </c>
      <c r="K743" t="s">
        <v>63</v>
      </c>
      <c r="L743" t="s">
        <v>31</v>
      </c>
      <c r="M743" t="s">
        <v>23</v>
      </c>
      <c r="N743" t="s">
        <v>69</v>
      </c>
      <c r="O743" t="s">
        <v>44</v>
      </c>
    </row>
    <row r="744" spans="1:15" x14ac:dyDescent="0.35">
      <c r="A744">
        <v>779489</v>
      </c>
      <c r="B744" t="s">
        <v>15</v>
      </c>
      <c r="C744" t="s">
        <v>78</v>
      </c>
      <c r="D744">
        <v>37</v>
      </c>
      <c r="E744" t="s">
        <v>64</v>
      </c>
      <c r="F744" s="1">
        <v>42432.102777777778</v>
      </c>
      <c r="G744" t="s">
        <v>333</v>
      </c>
      <c r="H744" t="s">
        <v>225</v>
      </c>
      <c r="I744" t="s">
        <v>1183</v>
      </c>
      <c r="J744">
        <v>2</v>
      </c>
      <c r="K744" t="s">
        <v>63</v>
      </c>
      <c r="L744" t="s">
        <v>31</v>
      </c>
      <c r="M744" t="s">
        <v>23</v>
      </c>
      <c r="N744" t="s">
        <v>24</v>
      </c>
      <c r="O744" t="s">
        <v>58</v>
      </c>
    </row>
    <row r="745" spans="1:15" x14ac:dyDescent="0.35">
      <c r="A745">
        <v>865413</v>
      </c>
      <c r="B745" t="s">
        <v>15</v>
      </c>
      <c r="C745" t="s">
        <v>26</v>
      </c>
      <c r="D745">
        <v>35</v>
      </c>
      <c r="E745" t="s">
        <v>75</v>
      </c>
      <c r="F745" s="1">
        <v>42448.486111111109</v>
      </c>
      <c r="G745" t="s">
        <v>215</v>
      </c>
      <c r="H745" t="s">
        <v>71</v>
      </c>
      <c r="I745" t="s">
        <v>1184</v>
      </c>
      <c r="J745">
        <v>11</v>
      </c>
      <c r="K745" t="s">
        <v>68</v>
      </c>
      <c r="L745" t="s">
        <v>31</v>
      </c>
      <c r="M745" t="s">
        <v>57</v>
      </c>
      <c r="N745" t="s">
        <v>24</v>
      </c>
      <c r="O745" t="s">
        <v>44</v>
      </c>
    </row>
    <row r="746" spans="1:15" x14ac:dyDescent="0.35">
      <c r="A746">
        <v>865413</v>
      </c>
      <c r="B746" t="s">
        <v>15</v>
      </c>
      <c r="C746" t="s">
        <v>26</v>
      </c>
      <c r="D746">
        <v>35</v>
      </c>
      <c r="E746" t="s">
        <v>75</v>
      </c>
      <c r="F746" s="1">
        <v>42448.384722222225</v>
      </c>
      <c r="G746" t="s">
        <v>1185</v>
      </c>
      <c r="H746" t="s">
        <v>71</v>
      </c>
      <c r="I746" t="s">
        <v>1186</v>
      </c>
      <c r="J746">
        <v>9</v>
      </c>
      <c r="K746" t="s">
        <v>68</v>
      </c>
      <c r="L746" t="s">
        <v>31</v>
      </c>
      <c r="M746" t="s">
        <v>57</v>
      </c>
      <c r="N746" t="s">
        <v>24</v>
      </c>
      <c r="O746" t="s">
        <v>33</v>
      </c>
    </row>
    <row r="747" spans="1:15" x14ac:dyDescent="0.35">
      <c r="A747">
        <v>809047</v>
      </c>
      <c r="B747" t="s">
        <v>38</v>
      </c>
      <c r="C747" t="s">
        <v>26</v>
      </c>
      <c r="D747">
        <v>50</v>
      </c>
      <c r="E747" t="s">
        <v>17</v>
      </c>
      <c r="F747" s="1">
        <v>42460.904166666667</v>
      </c>
      <c r="G747" t="s">
        <v>1187</v>
      </c>
      <c r="H747" t="s">
        <v>19</v>
      </c>
      <c r="I747" t="s">
        <v>1188</v>
      </c>
      <c r="J747">
        <v>21</v>
      </c>
      <c r="K747" t="s">
        <v>63</v>
      </c>
      <c r="L747" t="s">
        <v>31</v>
      </c>
      <c r="M747" t="s">
        <v>23</v>
      </c>
      <c r="N747" t="s">
        <v>43</v>
      </c>
      <c r="O747" t="s">
        <v>25</v>
      </c>
    </row>
    <row r="748" spans="1:15" x14ac:dyDescent="0.35">
      <c r="A748">
        <v>809047</v>
      </c>
      <c r="B748" t="s">
        <v>38</v>
      </c>
      <c r="C748" t="s">
        <v>26</v>
      </c>
      <c r="D748">
        <v>50</v>
      </c>
      <c r="E748" t="s">
        <v>17</v>
      </c>
      <c r="F748" s="1">
        <v>42436.775000000001</v>
      </c>
      <c r="G748" t="s">
        <v>497</v>
      </c>
      <c r="H748" t="s">
        <v>19</v>
      </c>
      <c r="I748" t="s">
        <v>1189</v>
      </c>
      <c r="J748">
        <v>18</v>
      </c>
      <c r="K748" t="s">
        <v>21</v>
      </c>
      <c r="L748" t="s">
        <v>31</v>
      </c>
      <c r="M748" t="s">
        <v>23</v>
      </c>
      <c r="N748" t="s">
        <v>43</v>
      </c>
      <c r="O748" t="s">
        <v>25</v>
      </c>
    </row>
    <row r="749" spans="1:15" x14ac:dyDescent="0.35">
      <c r="A749">
        <v>737179</v>
      </c>
      <c r="B749" t="s">
        <v>15</v>
      </c>
      <c r="C749" t="s">
        <v>26</v>
      </c>
      <c r="D749">
        <v>25</v>
      </c>
      <c r="E749" t="s">
        <v>35</v>
      </c>
      <c r="F749" s="1">
        <v>42393.486111111109</v>
      </c>
      <c r="G749" t="s">
        <v>46</v>
      </c>
      <c r="H749" t="s">
        <v>19</v>
      </c>
      <c r="I749" t="s">
        <v>1190</v>
      </c>
      <c r="J749">
        <v>11</v>
      </c>
      <c r="K749" t="s">
        <v>56</v>
      </c>
      <c r="L749" t="s">
        <v>22</v>
      </c>
      <c r="M749" t="s">
        <v>57</v>
      </c>
      <c r="N749" t="s">
        <v>69</v>
      </c>
      <c r="O749" t="s">
        <v>44</v>
      </c>
    </row>
    <row r="750" spans="1:15" x14ac:dyDescent="0.35">
      <c r="A750">
        <v>930093</v>
      </c>
      <c r="B750" t="s">
        <v>15</v>
      </c>
      <c r="C750" t="s">
        <v>34</v>
      </c>
      <c r="D750">
        <v>38</v>
      </c>
      <c r="E750" t="s">
        <v>35</v>
      </c>
      <c r="F750" s="1">
        <v>42459.819444444445</v>
      </c>
      <c r="G750" t="s">
        <v>1191</v>
      </c>
      <c r="H750" t="s">
        <v>47</v>
      </c>
      <c r="I750" t="s">
        <v>1192</v>
      </c>
      <c r="J750">
        <v>19</v>
      </c>
      <c r="K750" t="s">
        <v>30</v>
      </c>
      <c r="L750" t="s">
        <v>31</v>
      </c>
      <c r="M750" t="s">
        <v>23</v>
      </c>
      <c r="N750" t="s">
        <v>24</v>
      </c>
      <c r="O750" t="s">
        <v>25</v>
      </c>
    </row>
    <row r="751" spans="1:15" x14ac:dyDescent="0.35">
      <c r="A751">
        <v>922283</v>
      </c>
      <c r="B751" t="s">
        <v>15</v>
      </c>
      <c r="C751" t="s">
        <v>34</v>
      </c>
      <c r="D751">
        <v>22</v>
      </c>
      <c r="E751" t="s">
        <v>134</v>
      </c>
      <c r="F751" s="1">
        <v>42457.633333333331</v>
      </c>
      <c r="G751" t="s">
        <v>76</v>
      </c>
      <c r="H751" t="s">
        <v>66</v>
      </c>
      <c r="I751" t="s">
        <v>1193</v>
      </c>
      <c r="J751">
        <v>15</v>
      </c>
      <c r="K751" t="s">
        <v>21</v>
      </c>
      <c r="L751" t="s">
        <v>31</v>
      </c>
      <c r="M751" t="s">
        <v>23</v>
      </c>
      <c r="N751" t="s">
        <v>69</v>
      </c>
      <c r="O751" t="s">
        <v>44</v>
      </c>
    </row>
    <row r="752" spans="1:15" x14ac:dyDescent="0.35">
      <c r="A752">
        <v>850779</v>
      </c>
      <c r="B752" t="s">
        <v>15</v>
      </c>
      <c r="C752" t="s">
        <v>16</v>
      </c>
      <c r="D752">
        <v>31</v>
      </c>
      <c r="E752" t="s">
        <v>35</v>
      </c>
      <c r="F752" s="1">
        <v>42432.654166666667</v>
      </c>
      <c r="G752" t="s">
        <v>384</v>
      </c>
      <c r="H752" t="s">
        <v>66</v>
      </c>
      <c r="I752" t="s">
        <v>1194</v>
      </c>
      <c r="J752">
        <v>15</v>
      </c>
      <c r="K752" t="s">
        <v>63</v>
      </c>
      <c r="L752" t="s">
        <v>31</v>
      </c>
      <c r="M752" t="s">
        <v>23</v>
      </c>
      <c r="N752" t="s">
        <v>24</v>
      </c>
      <c r="O752" t="s">
        <v>44</v>
      </c>
    </row>
    <row r="753" spans="1:15" x14ac:dyDescent="0.35">
      <c r="A753">
        <v>930094</v>
      </c>
      <c r="B753" t="s">
        <v>15</v>
      </c>
      <c r="C753" t="s">
        <v>129</v>
      </c>
      <c r="D753">
        <v>26</v>
      </c>
      <c r="E753" t="s">
        <v>195</v>
      </c>
      <c r="F753" s="1">
        <v>42458.428472222222</v>
      </c>
      <c r="G753" t="s">
        <v>101</v>
      </c>
      <c r="H753" t="s">
        <v>28</v>
      </c>
      <c r="I753" t="s">
        <v>1195</v>
      </c>
      <c r="J753">
        <v>10</v>
      </c>
      <c r="K753" t="s">
        <v>49</v>
      </c>
      <c r="L753" t="s">
        <v>31</v>
      </c>
      <c r="M753" t="s">
        <v>23</v>
      </c>
      <c r="N753" t="s">
        <v>69</v>
      </c>
      <c r="O753" t="s">
        <v>33</v>
      </c>
    </row>
    <row r="754" spans="1:15" x14ac:dyDescent="0.35">
      <c r="A754">
        <v>930094</v>
      </c>
      <c r="B754" t="s">
        <v>15</v>
      </c>
      <c r="C754" t="s">
        <v>129</v>
      </c>
      <c r="D754">
        <v>26</v>
      </c>
      <c r="E754" t="s">
        <v>195</v>
      </c>
      <c r="F754" s="1">
        <v>42458.647222222222</v>
      </c>
      <c r="G754" t="s">
        <v>420</v>
      </c>
      <c r="H754" t="s">
        <v>19</v>
      </c>
      <c r="I754" t="s">
        <v>1196</v>
      </c>
      <c r="J754">
        <v>15</v>
      </c>
      <c r="K754" t="s">
        <v>49</v>
      </c>
      <c r="L754" t="s">
        <v>31</v>
      </c>
      <c r="M754" t="s">
        <v>23</v>
      </c>
      <c r="N754" t="s">
        <v>69</v>
      </c>
      <c r="O754" t="s">
        <v>44</v>
      </c>
    </row>
    <row r="755" spans="1:15" x14ac:dyDescent="0.35">
      <c r="A755">
        <v>2285675</v>
      </c>
      <c r="B755" t="s">
        <v>15</v>
      </c>
      <c r="C755" t="s">
        <v>26</v>
      </c>
      <c r="D755">
        <v>33</v>
      </c>
      <c r="E755" t="s">
        <v>35</v>
      </c>
      <c r="F755" s="1">
        <v>42454.495138888888</v>
      </c>
      <c r="G755" t="s">
        <v>326</v>
      </c>
      <c r="H755" t="s">
        <v>28</v>
      </c>
      <c r="I755" t="s">
        <v>1197</v>
      </c>
      <c r="J755">
        <v>11</v>
      </c>
      <c r="K755" t="s">
        <v>42</v>
      </c>
      <c r="L755" t="s">
        <v>31</v>
      </c>
      <c r="M755" t="s">
        <v>23</v>
      </c>
      <c r="N755" t="s">
        <v>24</v>
      </c>
      <c r="O755" t="s">
        <v>44</v>
      </c>
    </row>
    <row r="756" spans="1:15" x14ac:dyDescent="0.35">
      <c r="A756">
        <v>831815</v>
      </c>
      <c r="B756" t="s">
        <v>15</v>
      </c>
      <c r="C756" t="s">
        <v>34</v>
      </c>
      <c r="D756">
        <v>36</v>
      </c>
      <c r="E756" t="s">
        <v>64</v>
      </c>
      <c r="F756" s="1">
        <v>42432.52847222222</v>
      </c>
      <c r="G756" t="s">
        <v>1198</v>
      </c>
      <c r="H756" t="s">
        <v>71</v>
      </c>
      <c r="I756" t="s">
        <v>1199</v>
      </c>
      <c r="J756">
        <v>12</v>
      </c>
      <c r="K756" t="s">
        <v>63</v>
      </c>
      <c r="L756" t="s">
        <v>31</v>
      </c>
      <c r="M756" t="s">
        <v>23</v>
      </c>
      <c r="N756" t="s">
        <v>24</v>
      </c>
      <c r="O756" t="s">
        <v>44</v>
      </c>
    </row>
    <row r="757" spans="1:15" x14ac:dyDescent="0.35">
      <c r="A757">
        <v>642504</v>
      </c>
      <c r="B757" t="s">
        <v>26</v>
      </c>
      <c r="C757" t="s">
        <v>26</v>
      </c>
      <c r="D757">
        <v>0</v>
      </c>
      <c r="E757" t="s">
        <v>26</v>
      </c>
      <c r="F757" s="1">
        <v>42459.254861111112</v>
      </c>
      <c r="G757" t="s">
        <v>1200</v>
      </c>
      <c r="H757" t="s">
        <v>251</v>
      </c>
      <c r="I757" t="s">
        <v>1201</v>
      </c>
      <c r="J757">
        <v>6</v>
      </c>
      <c r="K757" t="s">
        <v>30</v>
      </c>
      <c r="L757" t="s">
        <v>31</v>
      </c>
      <c r="M757" t="s">
        <v>23</v>
      </c>
      <c r="N757" t="s">
        <v>32</v>
      </c>
      <c r="O757" t="s">
        <v>33</v>
      </c>
    </row>
    <row r="758" spans="1:15" x14ac:dyDescent="0.35">
      <c r="A758">
        <v>809048</v>
      </c>
      <c r="B758" t="s">
        <v>15</v>
      </c>
      <c r="C758" t="s">
        <v>34</v>
      </c>
      <c r="D758">
        <v>46</v>
      </c>
      <c r="E758" t="s">
        <v>134</v>
      </c>
      <c r="F758" s="1">
        <v>42419.493750000001</v>
      </c>
      <c r="G758" t="s">
        <v>220</v>
      </c>
      <c r="H758" t="s">
        <v>71</v>
      </c>
      <c r="I758" t="s">
        <v>1202</v>
      </c>
      <c r="J758">
        <v>11</v>
      </c>
      <c r="K758" t="s">
        <v>42</v>
      </c>
      <c r="L758" t="s">
        <v>50</v>
      </c>
      <c r="M758" t="s">
        <v>23</v>
      </c>
      <c r="N758" t="s">
        <v>93</v>
      </c>
      <c r="O758" t="s">
        <v>44</v>
      </c>
    </row>
    <row r="759" spans="1:15" x14ac:dyDescent="0.35">
      <c r="A759">
        <v>809048</v>
      </c>
      <c r="B759" t="s">
        <v>15</v>
      </c>
      <c r="C759" t="s">
        <v>34</v>
      </c>
      <c r="D759">
        <v>46</v>
      </c>
      <c r="E759" t="s">
        <v>134</v>
      </c>
      <c r="F759" s="1">
        <v>42424.624305555553</v>
      </c>
      <c r="G759" t="s">
        <v>1203</v>
      </c>
      <c r="H759" t="s">
        <v>28</v>
      </c>
      <c r="I759" t="s">
        <v>1204</v>
      </c>
      <c r="J759">
        <v>14</v>
      </c>
      <c r="K759" t="s">
        <v>30</v>
      </c>
      <c r="L759" t="s">
        <v>50</v>
      </c>
      <c r="M759" t="s">
        <v>23</v>
      </c>
      <c r="N759" t="s">
        <v>93</v>
      </c>
      <c r="O759" t="s">
        <v>44</v>
      </c>
    </row>
    <row r="760" spans="1:15" x14ac:dyDescent="0.35">
      <c r="A760">
        <v>809048</v>
      </c>
      <c r="B760" t="s">
        <v>15</v>
      </c>
      <c r="C760" t="s">
        <v>34</v>
      </c>
      <c r="D760">
        <v>46</v>
      </c>
      <c r="E760" t="s">
        <v>134</v>
      </c>
      <c r="F760" s="1">
        <v>42403.413194444445</v>
      </c>
      <c r="G760" t="s">
        <v>470</v>
      </c>
      <c r="H760" t="s">
        <v>106</v>
      </c>
      <c r="I760" t="s">
        <v>1205</v>
      </c>
      <c r="J760">
        <v>9</v>
      </c>
      <c r="K760" t="s">
        <v>30</v>
      </c>
      <c r="L760" t="s">
        <v>50</v>
      </c>
      <c r="M760" t="s">
        <v>23</v>
      </c>
      <c r="N760" t="s">
        <v>93</v>
      </c>
      <c r="O760" t="s">
        <v>33</v>
      </c>
    </row>
    <row r="761" spans="1:15" x14ac:dyDescent="0.35">
      <c r="A761">
        <v>809048</v>
      </c>
      <c r="B761" t="s">
        <v>15</v>
      </c>
      <c r="C761" t="s">
        <v>34</v>
      </c>
      <c r="D761">
        <v>46</v>
      </c>
      <c r="E761" t="s">
        <v>134</v>
      </c>
      <c r="F761" s="1">
        <v>42403.420138888891</v>
      </c>
      <c r="G761" t="s">
        <v>1206</v>
      </c>
      <c r="H761" t="s">
        <v>54</v>
      </c>
      <c r="I761" t="s">
        <v>1207</v>
      </c>
      <c r="J761">
        <v>10</v>
      </c>
      <c r="K761" t="s">
        <v>30</v>
      </c>
      <c r="L761" t="s">
        <v>50</v>
      </c>
      <c r="M761" t="s">
        <v>23</v>
      </c>
      <c r="N761" t="s">
        <v>93</v>
      </c>
      <c r="O761" t="s">
        <v>33</v>
      </c>
    </row>
    <row r="762" spans="1:15" x14ac:dyDescent="0.35">
      <c r="A762">
        <v>809048</v>
      </c>
      <c r="B762" t="s">
        <v>15</v>
      </c>
      <c r="C762" t="s">
        <v>34</v>
      </c>
      <c r="D762">
        <v>46</v>
      </c>
      <c r="E762" t="s">
        <v>134</v>
      </c>
      <c r="F762" s="1">
        <v>42438.554166666669</v>
      </c>
      <c r="G762" t="s">
        <v>1208</v>
      </c>
      <c r="H762" t="s">
        <v>28</v>
      </c>
      <c r="I762" t="s">
        <v>1209</v>
      </c>
      <c r="J762">
        <v>13</v>
      </c>
      <c r="K762" t="s">
        <v>30</v>
      </c>
      <c r="L762" t="s">
        <v>31</v>
      </c>
      <c r="M762" t="s">
        <v>23</v>
      </c>
      <c r="N762" t="s">
        <v>93</v>
      </c>
      <c r="O762" t="s">
        <v>44</v>
      </c>
    </row>
    <row r="763" spans="1:15" x14ac:dyDescent="0.35">
      <c r="A763">
        <v>904295</v>
      </c>
      <c r="B763" t="s">
        <v>15</v>
      </c>
      <c r="C763" t="s">
        <v>34</v>
      </c>
      <c r="D763">
        <v>41</v>
      </c>
      <c r="E763" t="s">
        <v>17</v>
      </c>
      <c r="F763" s="1">
        <v>42453.697222222225</v>
      </c>
      <c r="G763" t="s">
        <v>1210</v>
      </c>
      <c r="H763" t="s">
        <v>71</v>
      </c>
      <c r="I763" t="s">
        <v>1211</v>
      </c>
      <c r="J763">
        <v>16</v>
      </c>
      <c r="K763" t="s">
        <v>63</v>
      </c>
      <c r="L763" t="s">
        <v>31</v>
      </c>
      <c r="M763" t="s">
        <v>23</v>
      </c>
      <c r="N763" t="s">
        <v>93</v>
      </c>
      <c r="O763" t="s">
        <v>44</v>
      </c>
    </row>
    <row r="764" spans="1:15" x14ac:dyDescent="0.35">
      <c r="A764">
        <v>930097</v>
      </c>
      <c r="B764" t="s">
        <v>15</v>
      </c>
      <c r="C764" t="s">
        <v>34</v>
      </c>
      <c r="D764">
        <v>26</v>
      </c>
      <c r="E764" t="s">
        <v>35</v>
      </c>
      <c r="F764" s="1">
        <v>42459.62777777778</v>
      </c>
      <c r="G764" t="s">
        <v>1212</v>
      </c>
      <c r="H764" t="s">
        <v>28</v>
      </c>
      <c r="I764" t="s">
        <v>1213</v>
      </c>
      <c r="J764">
        <v>15</v>
      </c>
      <c r="K764" t="s">
        <v>30</v>
      </c>
      <c r="L764" t="s">
        <v>31</v>
      </c>
      <c r="M764" t="s">
        <v>23</v>
      </c>
      <c r="N764" t="s">
        <v>69</v>
      </c>
      <c r="O764" t="s">
        <v>44</v>
      </c>
    </row>
    <row r="765" spans="1:15" x14ac:dyDescent="0.35">
      <c r="A765">
        <v>939717</v>
      </c>
      <c r="B765" t="s">
        <v>15</v>
      </c>
      <c r="C765" t="s">
        <v>34</v>
      </c>
      <c r="D765">
        <v>27</v>
      </c>
      <c r="E765" t="s">
        <v>35</v>
      </c>
      <c r="F765" s="1">
        <v>42459.340277777781</v>
      </c>
      <c r="G765" t="s">
        <v>160</v>
      </c>
      <c r="H765" t="s">
        <v>91</v>
      </c>
      <c r="I765" t="s">
        <v>1214</v>
      </c>
      <c r="J765">
        <v>8</v>
      </c>
      <c r="K765" t="s">
        <v>30</v>
      </c>
      <c r="L765" t="s">
        <v>31</v>
      </c>
      <c r="M765" t="s">
        <v>23</v>
      </c>
      <c r="N765" t="s">
        <v>69</v>
      </c>
      <c r="O765" t="s">
        <v>33</v>
      </c>
    </row>
    <row r="766" spans="1:15" x14ac:dyDescent="0.35">
      <c r="A766">
        <v>939717</v>
      </c>
      <c r="B766" t="s">
        <v>15</v>
      </c>
      <c r="C766" t="s">
        <v>34</v>
      </c>
      <c r="D766">
        <v>27</v>
      </c>
      <c r="E766" t="s">
        <v>35</v>
      </c>
      <c r="F766" s="1">
        <v>42458.848611111112</v>
      </c>
      <c r="G766" t="s">
        <v>520</v>
      </c>
      <c r="H766" t="s">
        <v>19</v>
      </c>
      <c r="I766" t="s">
        <v>1215</v>
      </c>
      <c r="J766">
        <v>20</v>
      </c>
      <c r="K766" t="s">
        <v>49</v>
      </c>
      <c r="L766" t="s">
        <v>31</v>
      </c>
      <c r="M766" t="s">
        <v>23</v>
      </c>
      <c r="N766" t="s">
        <v>69</v>
      </c>
      <c r="O766" t="s">
        <v>25</v>
      </c>
    </row>
    <row r="767" spans="1:15" x14ac:dyDescent="0.35">
      <c r="A767">
        <v>904299</v>
      </c>
      <c r="B767" t="s">
        <v>15</v>
      </c>
      <c r="C767" t="s">
        <v>34</v>
      </c>
      <c r="D767">
        <v>9</v>
      </c>
      <c r="E767" t="s">
        <v>195</v>
      </c>
      <c r="F767" s="1">
        <v>42459.50277777778</v>
      </c>
      <c r="G767" t="s">
        <v>1216</v>
      </c>
      <c r="H767" t="s">
        <v>28</v>
      </c>
      <c r="I767" t="s">
        <v>1217</v>
      </c>
      <c r="J767">
        <v>12</v>
      </c>
      <c r="K767" t="s">
        <v>30</v>
      </c>
      <c r="L767" t="s">
        <v>31</v>
      </c>
      <c r="M767" t="s">
        <v>23</v>
      </c>
      <c r="N767" t="s">
        <v>32</v>
      </c>
      <c r="O767" t="s">
        <v>44</v>
      </c>
    </row>
    <row r="768" spans="1:15" x14ac:dyDescent="0.35">
      <c r="A768">
        <v>904299</v>
      </c>
      <c r="B768" t="s">
        <v>15</v>
      </c>
      <c r="C768" t="s">
        <v>34</v>
      </c>
      <c r="D768">
        <v>9</v>
      </c>
      <c r="E768" t="s">
        <v>195</v>
      </c>
      <c r="F768" s="1">
        <v>42454.647222222222</v>
      </c>
      <c r="G768" t="s">
        <v>1218</v>
      </c>
      <c r="H768" t="s">
        <v>28</v>
      </c>
      <c r="I768" t="s">
        <v>1219</v>
      </c>
      <c r="J768">
        <v>15</v>
      </c>
      <c r="K768" t="s">
        <v>42</v>
      </c>
      <c r="L768" t="s">
        <v>31</v>
      </c>
      <c r="M768" t="s">
        <v>23</v>
      </c>
      <c r="N768" t="s">
        <v>32</v>
      </c>
      <c r="O768" t="s">
        <v>44</v>
      </c>
    </row>
    <row r="769" spans="1:15" x14ac:dyDescent="0.35">
      <c r="A769">
        <v>904299</v>
      </c>
      <c r="B769" t="s">
        <v>15</v>
      </c>
      <c r="C769" t="s">
        <v>34</v>
      </c>
      <c r="D769">
        <v>9</v>
      </c>
      <c r="E769" t="s">
        <v>195</v>
      </c>
      <c r="F769" s="1">
        <v>42458.542361111111</v>
      </c>
      <c r="G769" t="s">
        <v>1220</v>
      </c>
      <c r="H769" t="s">
        <v>28</v>
      </c>
      <c r="I769" t="s">
        <v>1221</v>
      </c>
      <c r="J769">
        <v>13</v>
      </c>
      <c r="K769" t="s">
        <v>49</v>
      </c>
      <c r="L769" t="s">
        <v>31</v>
      </c>
      <c r="M769" t="s">
        <v>23</v>
      </c>
      <c r="N769" t="s">
        <v>32</v>
      </c>
      <c r="O769" t="s">
        <v>44</v>
      </c>
    </row>
    <row r="770" spans="1:15" x14ac:dyDescent="0.35">
      <c r="A770">
        <v>531053</v>
      </c>
      <c r="B770" t="s">
        <v>15</v>
      </c>
      <c r="C770" t="s">
        <v>16</v>
      </c>
      <c r="D770">
        <v>18</v>
      </c>
      <c r="E770" t="s">
        <v>17</v>
      </c>
      <c r="F770" s="1">
        <v>42380.29791666667</v>
      </c>
      <c r="G770" t="s">
        <v>1222</v>
      </c>
      <c r="H770" t="s">
        <v>66</v>
      </c>
      <c r="I770" t="s">
        <v>1223</v>
      </c>
      <c r="J770">
        <v>7</v>
      </c>
      <c r="K770" t="s">
        <v>21</v>
      </c>
      <c r="L770" t="s">
        <v>22</v>
      </c>
      <c r="M770" t="s">
        <v>23</v>
      </c>
      <c r="N770" t="s">
        <v>69</v>
      </c>
      <c r="O770" t="s">
        <v>33</v>
      </c>
    </row>
    <row r="771" spans="1:15" x14ac:dyDescent="0.35">
      <c r="A771">
        <v>2368559</v>
      </c>
      <c r="B771" t="s">
        <v>15</v>
      </c>
      <c r="C771" t="s">
        <v>78</v>
      </c>
      <c r="D771">
        <v>40</v>
      </c>
      <c r="E771" t="s">
        <v>35</v>
      </c>
      <c r="F771" s="1">
        <v>42419.80972222222</v>
      </c>
      <c r="G771" t="s">
        <v>1224</v>
      </c>
      <c r="H771" t="s">
        <v>71</v>
      </c>
      <c r="I771" t="s">
        <v>1225</v>
      </c>
      <c r="J771">
        <v>19</v>
      </c>
      <c r="K771" t="s">
        <v>42</v>
      </c>
      <c r="L771" t="s">
        <v>50</v>
      </c>
      <c r="M771" t="s">
        <v>23</v>
      </c>
      <c r="N771" t="s">
        <v>93</v>
      </c>
      <c r="O771" t="s">
        <v>25</v>
      </c>
    </row>
    <row r="772" spans="1:15" x14ac:dyDescent="0.35">
      <c r="A772">
        <v>2368559</v>
      </c>
      <c r="B772" t="s">
        <v>15</v>
      </c>
      <c r="C772" t="s">
        <v>78</v>
      </c>
      <c r="D772">
        <v>40</v>
      </c>
      <c r="E772" t="s">
        <v>35</v>
      </c>
      <c r="F772" s="1">
        <v>42404.823611111111</v>
      </c>
      <c r="G772" t="s">
        <v>1226</v>
      </c>
      <c r="H772" t="s">
        <v>71</v>
      </c>
      <c r="I772" t="s">
        <v>1227</v>
      </c>
      <c r="J772">
        <v>19</v>
      </c>
      <c r="K772" t="s">
        <v>63</v>
      </c>
      <c r="L772" t="s">
        <v>50</v>
      </c>
      <c r="M772" t="s">
        <v>23</v>
      </c>
      <c r="N772" t="s">
        <v>93</v>
      </c>
      <c r="O772" t="s">
        <v>25</v>
      </c>
    </row>
    <row r="773" spans="1:15" x14ac:dyDescent="0.35">
      <c r="A773">
        <v>2368559</v>
      </c>
      <c r="B773" t="s">
        <v>15</v>
      </c>
      <c r="C773" t="s">
        <v>78</v>
      </c>
      <c r="D773">
        <v>40</v>
      </c>
      <c r="E773" t="s">
        <v>35</v>
      </c>
      <c r="F773" s="1">
        <v>42394.868055555555</v>
      </c>
      <c r="G773" t="s">
        <v>1228</v>
      </c>
      <c r="H773" t="s">
        <v>71</v>
      </c>
      <c r="I773" t="s">
        <v>1229</v>
      </c>
      <c r="J773">
        <v>20</v>
      </c>
      <c r="K773" t="s">
        <v>21</v>
      </c>
      <c r="L773" t="s">
        <v>22</v>
      </c>
      <c r="M773" t="s">
        <v>23</v>
      </c>
      <c r="N773" t="s">
        <v>93</v>
      </c>
      <c r="O773" t="s">
        <v>25</v>
      </c>
    </row>
    <row r="774" spans="1:15" x14ac:dyDescent="0.35">
      <c r="A774">
        <v>2368559</v>
      </c>
      <c r="B774" t="s">
        <v>15</v>
      </c>
      <c r="C774" t="s">
        <v>78</v>
      </c>
      <c r="D774">
        <v>40</v>
      </c>
      <c r="E774" t="s">
        <v>35</v>
      </c>
      <c r="F774" s="1">
        <v>42376.737500000003</v>
      </c>
      <c r="G774" t="s">
        <v>1230</v>
      </c>
      <c r="H774" t="s">
        <v>251</v>
      </c>
      <c r="I774" t="s">
        <v>1231</v>
      </c>
      <c r="J774">
        <v>17</v>
      </c>
      <c r="K774" t="s">
        <v>63</v>
      </c>
      <c r="L774" t="s">
        <v>22</v>
      </c>
      <c r="M774" t="s">
        <v>23</v>
      </c>
      <c r="N774" t="s">
        <v>93</v>
      </c>
      <c r="O774" t="s">
        <v>25</v>
      </c>
    </row>
    <row r="775" spans="1:15" x14ac:dyDescent="0.35">
      <c r="A775">
        <v>2368559</v>
      </c>
      <c r="B775" t="s">
        <v>15</v>
      </c>
      <c r="C775" t="s">
        <v>78</v>
      </c>
      <c r="D775">
        <v>40</v>
      </c>
      <c r="E775" t="s">
        <v>35</v>
      </c>
      <c r="F775" s="1">
        <v>42377.44027777778</v>
      </c>
      <c r="G775" t="s">
        <v>96</v>
      </c>
      <c r="H775" t="s">
        <v>106</v>
      </c>
      <c r="I775" t="s">
        <v>1232</v>
      </c>
      <c r="J775">
        <v>10</v>
      </c>
      <c r="K775" t="s">
        <v>42</v>
      </c>
      <c r="L775" t="s">
        <v>22</v>
      </c>
      <c r="M775" t="s">
        <v>23</v>
      </c>
      <c r="N775" t="s">
        <v>93</v>
      </c>
      <c r="O775" t="s">
        <v>33</v>
      </c>
    </row>
    <row r="776" spans="1:15" x14ac:dyDescent="0.35">
      <c r="A776">
        <v>779500</v>
      </c>
      <c r="B776" t="s">
        <v>15</v>
      </c>
      <c r="C776" t="s">
        <v>39</v>
      </c>
      <c r="D776">
        <v>33</v>
      </c>
      <c r="E776" t="s">
        <v>17</v>
      </c>
      <c r="F776" s="1">
        <v>42414.25</v>
      </c>
      <c r="G776" t="s">
        <v>489</v>
      </c>
      <c r="H776" t="s">
        <v>97</v>
      </c>
      <c r="I776" t="s">
        <v>1233</v>
      </c>
      <c r="J776">
        <v>6</v>
      </c>
      <c r="K776" t="s">
        <v>56</v>
      </c>
      <c r="L776" t="s">
        <v>50</v>
      </c>
      <c r="M776" t="s">
        <v>57</v>
      </c>
      <c r="N776" t="s">
        <v>24</v>
      </c>
      <c r="O776" t="s">
        <v>33</v>
      </c>
    </row>
    <row r="777" spans="1:15" x14ac:dyDescent="0.35">
      <c r="A777">
        <v>779500</v>
      </c>
      <c r="B777" t="s">
        <v>15</v>
      </c>
      <c r="C777" t="s">
        <v>39</v>
      </c>
      <c r="D777">
        <v>33</v>
      </c>
      <c r="E777" t="s">
        <v>17</v>
      </c>
      <c r="F777" s="1">
        <v>42402.663194444445</v>
      </c>
      <c r="G777" t="s">
        <v>1234</v>
      </c>
      <c r="H777" t="s">
        <v>51</v>
      </c>
      <c r="I777" t="s">
        <v>1235</v>
      </c>
      <c r="J777">
        <v>15</v>
      </c>
      <c r="K777" t="s">
        <v>49</v>
      </c>
      <c r="L777" t="s">
        <v>50</v>
      </c>
      <c r="M777" t="s">
        <v>23</v>
      </c>
      <c r="N777" t="s">
        <v>24</v>
      </c>
      <c r="O777" t="s">
        <v>44</v>
      </c>
    </row>
    <row r="778" spans="1:15" x14ac:dyDescent="0.35">
      <c r="A778">
        <v>2425806</v>
      </c>
      <c r="B778" t="s">
        <v>15</v>
      </c>
      <c r="C778" t="s">
        <v>78</v>
      </c>
      <c r="D778">
        <v>41</v>
      </c>
      <c r="E778" t="s">
        <v>35</v>
      </c>
      <c r="F778" s="1">
        <v>42400.667361111111</v>
      </c>
      <c r="G778" t="s">
        <v>527</v>
      </c>
      <c r="H778" t="s">
        <v>116</v>
      </c>
      <c r="I778" t="s">
        <v>1236</v>
      </c>
      <c r="J778">
        <v>16</v>
      </c>
      <c r="K778" t="s">
        <v>56</v>
      </c>
      <c r="L778" t="s">
        <v>22</v>
      </c>
      <c r="M778" t="s">
        <v>57</v>
      </c>
      <c r="N778" t="s">
        <v>93</v>
      </c>
      <c r="O778" t="s">
        <v>44</v>
      </c>
    </row>
    <row r="779" spans="1:15" x14ac:dyDescent="0.35">
      <c r="A779">
        <v>2425806</v>
      </c>
      <c r="B779" t="s">
        <v>15</v>
      </c>
      <c r="C779" t="s">
        <v>78</v>
      </c>
      <c r="D779">
        <v>41</v>
      </c>
      <c r="E779" t="s">
        <v>35</v>
      </c>
      <c r="F779" s="1">
        <v>42403.651388888888</v>
      </c>
      <c r="G779" t="s">
        <v>692</v>
      </c>
      <c r="H779" t="s">
        <v>51</v>
      </c>
      <c r="I779" t="s">
        <v>1237</v>
      </c>
      <c r="J779">
        <v>15</v>
      </c>
      <c r="K779" t="s">
        <v>30</v>
      </c>
      <c r="L779" t="s">
        <v>50</v>
      </c>
      <c r="M779" t="s">
        <v>23</v>
      </c>
      <c r="N779" t="s">
        <v>93</v>
      </c>
      <c r="O779" t="s">
        <v>44</v>
      </c>
    </row>
    <row r="780" spans="1:15" x14ac:dyDescent="0.35">
      <c r="A780">
        <v>831820</v>
      </c>
      <c r="B780" t="s">
        <v>15</v>
      </c>
      <c r="C780" t="s">
        <v>16</v>
      </c>
      <c r="D780">
        <v>27</v>
      </c>
      <c r="E780" t="s">
        <v>64</v>
      </c>
      <c r="F780" s="1">
        <v>42442.607638888891</v>
      </c>
      <c r="G780" t="s">
        <v>1238</v>
      </c>
      <c r="H780" t="s">
        <v>28</v>
      </c>
      <c r="I780" t="s">
        <v>1239</v>
      </c>
      <c r="J780">
        <v>14</v>
      </c>
      <c r="K780" t="s">
        <v>56</v>
      </c>
      <c r="L780" t="s">
        <v>31</v>
      </c>
      <c r="M780" t="s">
        <v>57</v>
      </c>
      <c r="N780" t="s">
        <v>69</v>
      </c>
      <c r="O780" t="s">
        <v>44</v>
      </c>
    </row>
    <row r="781" spans="1:15" x14ac:dyDescent="0.35">
      <c r="A781">
        <v>831820</v>
      </c>
      <c r="B781" t="s">
        <v>15</v>
      </c>
      <c r="C781" t="s">
        <v>16</v>
      </c>
      <c r="D781">
        <v>27</v>
      </c>
      <c r="E781" t="s">
        <v>64</v>
      </c>
      <c r="F781" s="1">
        <v>42435.785416666666</v>
      </c>
      <c r="G781" t="s">
        <v>168</v>
      </c>
      <c r="H781" t="s">
        <v>66</v>
      </c>
      <c r="I781" t="s">
        <v>1240</v>
      </c>
      <c r="J781">
        <v>18</v>
      </c>
      <c r="K781" t="s">
        <v>56</v>
      </c>
      <c r="L781" t="s">
        <v>31</v>
      </c>
      <c r="M781" t="s">
        <v>57</v>
      </c>
      <c r="N781" t="s">
        <v>69</v>
      </c>
      <c r="O781" t="s">
        <v>25</v>
      </c>
    </row>
    <row r="782" spans="1:15" x14ac:dyDescent="0.35">
      <c r="A782">
        <v>831820</v>
      </c>
      <c r="B782" t="s">
        <v>15</v>
      </c>
      <c r="C782" t="s">
        <v>16</v>
      </c>
      <c r="D782">
        <v>27</v>
      </c>
      <c r="E782" t="s">
        <v>64</v>
      </c>
      <c r="F782" s="1">
        <v>42427.751388888886</v>
      </c>
      <c r="G782" t="s">
        <v>1241</v>
      </c>
      <c r="H782" t="s">
        <v>66</v>
      </c>
      <c r="I782" t="s">
        <v>1242</v>
      </c>
      <c r="J782">
        <v>18</v>
      </c>
      <c r="K782" t="s">
        <v>68</v>
      </c>
      <c r="L782" t="s">
        <v>50</v>
      </c>
      <c r="M782" t="s">
        <v>57</v>
      </c>
      <c r="N782" t="s">
        <v>69</v>
      </c>
      <c r="O782" t="s">
        <v>25</v>
      </c>
    </row>
    <row r="783" spans="1:15" x14ac:dyDescent="0.35">
      <c r="A783">
        <v>521247</v>
      </c>
      <c r="B783" t="s">
        <v>15</v>
      </c>
      <c r="C783" t="s">
        <v>78</v>
      </c>
      <c r="D783">
        <v>21</v>
      </c>
      <c r="E783" t="s">
        <v>75</v>
      </c>
      <c r="F783" s="1">
        <v>42372.868750000001</v>
      </c>
      <c r="G783" t="s">
        <v>336</v>
      </c>
      <c r="H783" t="s">
        <v>106</v>
      </c>
      <c r="I783" t="s">
        <v>1243</v>
      </c>
      <c r="J783">
        <v>20</v>
      </c>
      <c r="K783" t="s">
        <v>56</v>
      </c>
      <c r="L783" t="s">
        <v>22</v>
      </c>
      <c r="M783" t="s">
        <v>57</v>
      </c>
      <c r="N783" t="s">
        <v>69</v>
      </c>
      <c r="O783" t="s">
        <v>25</v>
      </c>
    </row>
    <row r="784" spans="1:15" x14ac:dyDescent="0.35">
      <c r="A784">
        <v>521247</v>
      </c>
      <c r="B784" t="s">
        <v>15</v>
      </c>
      <c r="C784" t="s">
        <v>78</v>
      </c>
      <c r="D784">
        <v>21</v>
      </c>
      <c r="E784" t="s">
        <v>75</v>
      </c>
      <c r="F784" s="1">
        <v>42377.517361111109</v>
      </c>
      <c r="G784" t="s">
        <v>1010</v>
      </c>
      <c r="H784" t="s">
        <v>54</v>
      </c>
      <c r="I784" t="s">
        <v>1244</v>
      </c>
      <c r="J784">
        <v>12</v>
      </c>
      <c r="K784" t="s">
        <v>42</v>
      </c>
      <c r="L784" t="s">
        <v>22</v>
      </c>
      <c r="M784" t="s">
        <v>23</v>
      </c>
      <c r="N784" t="s">
        <v>69</v>
      </c>
      <c r="O784" t="s">
        <v>44</v>
      </c>
    </row>
    <row r="785" spans="1:15" x14ac:dyDescent="0.35">
      <c r="A785">
        <v>621328</v>
      </c>
      <c r="B785" t="s">
        <v>15</v>
      </c>
      <c r="C785" t="s">
        <v>26</v>
      </c>
      <c r="D785">
        <v>29</v>
      </c>
      <c r="E785" t="s">
        <v>17</v>
      </c>
      <c r="F785" s="1">
        <v>42382.834722222222</v>
      </c>
      <c r="G785" t="s">
        <v>1245</v>
      </c>
      <c r="H785" t="s">
        <v>251</v>
      </c>
      <c r="I785" t="s">
        <v>1246</v>
      </c>
      <c r="J785">
        <v>20</v>
      </c>
      <c r="K785" t="s">
        <v>30</v>
      </c>
      <c r="L785" t="s">
        <v>22</v>
      </c>
      <c r="M785" t="s">
        <v>23</v>
      </c>
      <c r="N785" t="s">
        <v>24</v>
      </c>
      <c r="O785" t="s">
        <v>25</v>
      </c>
    </row>
    <row r="786" spans="1:15" x14ac:dyDescent="0.35">
      <c r="A786">
        <v>892587</v>
      </c>
      <c r="B786" t="s">
        <v>15</v>
      </c>
      <c r="C786" t="s">
        <v>34</v>
      </c>
      <c r="D786">
        <v>32</v>
      </c>
      <c r="E786" t="s">
        <v>35</v>
      </c>
      <c r="F786" s="1">
        <v>42440.754861111112</v>
      </c>
      <c r="G786" t="s">
        <v>474</v>
      </c>
      <c r="H786" t="s">
        <v>28</v>
      </c>
      <c r="I786" t="s">
        <v>1247</v>
      </c>
      <c r="J786">
        <v>18</v>
      </c>
      <c r="K786" t="s">
        <v>42</v>
      </c>
      <c r="L786" t="s">
        <v>31</v>
      </c>
      <c r="M786" t="s">
        <v>23</v>
      </c>
      <c r="N786" t="s">
        <v>24</v>
      </c>
      <c r="O786" t="s">
        <v>25</v>
      </c>
    </row>
    <row r="787" spans="1:15" x14ac:dyDescent="0.35">
      <c r="A787">
        <v>892587</v>
      </c>
      <c r="B787" t="s">
        <v>15</v>
      </c>
      <c r="C787" t="s">
        <v>34</v>
      </c>
      <c r="D787">
        <v>32</v>
      </c>
      <c r="E787" t="s">
        <v>35</v>
      </c>
      <c r="F787" s="1">
        <v>42449.692361111112</v>
      </c>
      <c r="G787" t="s">
        <v>1248</v>
      </c>
      <c r="H787" t="s">
        <v>28</v>
      </c>
      <c r="I787" t="s">
        <v>1249</v>
      </c>
      <c r="J787">
        <v>16</v>
      </c>
      <c r="K787" t="s">
        <v>56</v>
      </c>
      <c r="L787" t="s">
        <v>31</v>
      </c>
      <c r="M787" t="s">
        <v>57</v>
      </c>
      <c r="N787" t="s">
        <v>24</v>
      </c>
      <c r="O787" t="s">
        <v>44</v>
      </c>
    </row>
    <row r="788" spans="1:15" x14ac:dyDescent="0.35">
      <c r="A788">
        <v>939719</v>
      </c>
      <c r="B788" t="s">
        <v>15</v>
      </c>
      <c r="C788" t="s">
        <v>39</v>
      </c>
      <c r="D788">
        <v>28</v>
      </c>
      <c r="E788" t="s">
        <v>64</v>
      </c>
      <c r="F788" s="1">
        <v>42460.814583333333</v>
      </c>
      <c r="G788" t="s">
        <v>759</v>
      </c>
      <c r="H788" t="s">
        <v>54</v>
      </c>
      <c r="I788" t="s">
        <v>1250</v>
      </c>
      <c r="J788">
        <v>19</v>
      </c>
      <c r="K788" t="s">
        <v>63</v>
      </c>
      <c r="L788" t="s">
        <v>31</v>
      </c>
      <c r="M788" t="s">
        <v>23</v>
      </c>
      <c r="N788" t="s">
        <v>69</v>
      </c>
      <c r="O788" t="s">
        <v>25</v>
      </c>
    </row>
    <row r="789" spans="1:15" x14ac:dyDescent="0.35">
      <c r="A789">
        <v>939719</v>
      </c>
      <c r="B789" t="s">
        <v>15</v>
      </c>
      <c r="C789" t="s">
        <v>39</v>
      </c>
      <c r="D789">
        <v>28</v>
      </c>
      <c r="E789" t="s">
        <v>64</v>
      </c>
      <c r="F789" s="1">
        <v>42460.691666666666</v>
      </c>
      <c r="G789" t="s">
        <v>441</v>
      </c>
      <c r="H789" t="s">
        <v>179</v>
      </c>
      <c r="I789" t="s">
        <v>1251</v>
      </c>
      <c r="J789">
        <v>16</v>
      </c>
      <c r="K789" t="s">
        <v>63</v>
      </c>
      <c r="L789" t="s">
        <v>31</v>
      </c>
      <c r="M789" t="s">
        <v>23</v>
      </c>
      <c r="N789" t="s">
        <v>69</v>
      </c>
      <c r="O789" t="s">
        <v>44</v>
      </c>
    </row>
    <row r="790" spans="1:15" x14ac:dyDescent="0.35">
      <c r="A790">
        <v>930104</v>
      </c>
      <c r="B790" t="s">
        <v>15</v>
      </c>
      <c r="C790" t="s">
        <v>34</v>
      </c>
      <c r="D790">
        <v>23</v>
      </c>
      <c r="E790" t="s">
        <v>134</v>
      </c>
      <c r="F790" s="1">
        <v>42458.90902777778</v>
      </c>
      <c r="G790" t="s">
        <v>1252</v>
      </c>
      <c r="H790" t="s">
        <v>86</v>
      </c>
      <c r="I790" t="s">
        <v>1253</v>
      </c>
      <c r="J790">
        <v>21</v>
      </c>
      <c r="K790" t="s">
        <v>49</v>
      </c>
      <c r="L790" t="s">
        <v>31</v>
      </c>
      <c r="M790" t="s">
        <v>23</v>
      </c>
      <c r="N790" t="s">
        <v>69</v>
      </c>
      <c r="O790" t="s">
        <v>25</v>
      </c>
    </row>
    <row r="791" spans="1:15" x14ac:dyDescent="0.35">
      <c r="A791">
        <v>866270</v>
      </c>
      <c r="B791" t="s">
        <v>15</v>
      </c>
      <c r="C791" t="s">
        <v>34</v>
      </c>
      <c r="D791">
        <v>32</v>
      </c>
      <c r="E791" t="s">
        <v>35</v>
      </c>
      <c r="F791" s="1">
        <v>42442.504861111112</v>
      </c>
      <c r="G791" t="s">
        <v>1254</v>
      </c>
      <c r="H791" t="s">
        <v>28</v>
      </c>
      <c r="I791" t="s">
        <v>1255</v>
      </c>
      <c r="J791">
        <v>12</v>
      </c>
      <c r="K791" t="s">
        <v>56</v>
      </c>
      <c r="L791" t="s">
        <v>31</v>
      </c>
      <c r="M791" t="s">
        <v>57</v>
      </c>
      <c r="N791" t="s">
        <v>24</v>
      </c>
      <c r="O791" t="s">
        <v>44</v>
      </c>
    </row>
    <row r="792" spans="1:15" x14ac:dyDescent="0.35">
      <c r="A792">
        <v>866270</v>
      </c>
      <c r="B792" t="s">
        <v>15</v>
      </c>
      <c r="C792" t="s">
        <v>34</v>
      </c>
      <c r="D792">
        <v>32</v>
      </c>
      <c r="E792" t="s">
        <v>35</v>
      </c>
      <c r="F792" s="1">
        <v>42448.393750000003</v>
      </c>
      <c r="G792" t="s">
        <v>1256</v>
      </c>
      <c r="H792" t="s">
        <v>66</v>
      </c>
      <c r="I792" t="s">
        <v>1257</v>
      </c>
      <c r="J792">
        <v>9</v>
      </c>
      <c r="K792" t="s">
        <v>68</v>
      </c>
      <c r="L792" t="s">
        <v>31</v>
      </c>
      <c r="M792" t="s">
        <v>57</v>
      </c>
      <c r="N792" t="s">
        <v>24</v>
      </c>
      <c r="O792" t="s">
        <v>33</v>
      </c>
    </row>
    <row r="793" spans="1:15" x14ac:dyDescent="0.35">
      <c r="A793">
        <v>858517</v>
      </c>
      <c r="B793" t="s">
        <v>26</v>
      </c>
      <c r="C793" t="s">
        <v>26</v>
      </c>
      <c r="D793">
        <v>0</v>
      </c>
      <c r="E793" t="s">
        <v>26</v>
      </c>
      <c r="F793" s="1">
        <v>42454.678472222222</v>
      </c>
      <c r="G793" t="s">
        <v>808</v>
      </c>
      <c r="H793" t="s">
        <v>54</v>
      </c>
      <c r="I793" t="s">
        <v>1258</v>
      </c>
      <c r="J793">
        <v>16</v>
      </c>
      <c r="K793" t="s">
        <v>42</v>
      </c>
      <c r="L793" t="s">
        <v>31</v>
      </c>
      <c r="M793" t="s">
        <v>23</v>
      </c>
      <c r="N793" t="s">
        <v>32</v>
      </c>
      <c r="O793" t="s">
        <v>44</v>
      </c>
    </row>
    <row r="794" spans="1:15" x14ac:dyDescent="0.35">
      <c r="A794">
        <v>858517</v>
      </c>
      <c r="B794" t="s">
        <v>26</v>
      </c>
      <c r="C794" t="s">
        <v>26</v>
      </c>
      <c r="D794">
        <v>0</v>
      </c>
      <c r="E794" t="s">
        <v>26</v>
      </c>
      <c r="F794" s="1">
        <v>42454.447222222225</v>
      </c>
      <c r="G794" t="s">
        <v>420</v>
      </c>
      <c r="H794" t="s">
        <v>54</v>
      </c>
      <c r="I794" t="s">
        <v>1259</v>
      </c>
      <c r="J794">
        <v>10</v>
      </c>
      <c r="K794" t="s">
        <v>42</v>
      </c>
      <c r="L794" t="s">
        <v>31</v>
      </c>
      <c r="M794" t="s">
        <v>23</v>
      </c>
      <c r="N794" t="s">
        <v>32</v>
      </c>
      <c r="O794" t="s">
        <v>33</v>
      </c>
    </row>
    <row r="795" spans="1:15" x14ac:dyDescent="0.35">
      <c r="A795">
        <v>789241</v>
      </c>
      <c r="B795" t="s">
        <v>15</v>
      </c>
      <c r="C795" t="s">
        <v>16</v>
      </c>
      <c r="D795">
        <v>25</v>
      </c>
      <c r="E795" t="s">
        <v>860</v>
      </c>
      <c r="F795" s="1">
        <v>42413.348611111112</v>
      </c>
      <c r="G795" t="s">
        <v>1260</v>
      </c>
      <c r="H795" t="s">
        <v>51</v>
      </c>
      <c r="I795" t="s">
        <v>1261</v>
      </c>
      <c r="J795">
        <v>8</v>
      </c>
      <c r="K795" t="s">
        <v>68</v>
      </c>
      <c r="L795" t="s">
        <v>50</v>
      </c>
      <c r="M795" t="s">
        <v>57</v>
      </c>
      <c r="N795" t="s">
        <v>69</v>
      </c>
      <c r="O795" t="s">
        <v>33</v>
      </c>
    </row>
    <row r="796" spans="1:15" x14ac:dyDescent="0.35">
      <c r="A796">
        <v>1106301</v>
      </c>
      <c r="B796" t="s">
        <v>15</v>
      </c>
      <c r="C796" t="s">
        <v>34</v>
      </c>
      <c r="D796">
        <v>45</v>
      </c>
      <c r="E796" t="s">
        <v>35</v>
      </c>
      <c r="F796" s="1">
        <v>42455.253472222219</v>
      </c>
      <c r="G796" t="s">
        <v>88</v>
      </c>
      <c r="H796" t="s">
        <v>86</v>
      </c>
      <c r="I796" t="s">
        <v>1262</v>
      </c>
      <c r="J796">
        <v>6</v>
      </c>
      <c r="K796" t="s">
        <v>68</v>
      </c>
      <c r="L796" t="s">
        <v>31</v>
      </c>
      <c r="M796" t="s">
        <v>57</v>
      </c>
      <c r="N796" t="s">
        <v>93</v>
      </c>
      <c r="O796" t="s">
        <v>33</v>
      </c>
    </row>
    <row r="797" spans="1:15" x14ac:dyDescent="0.35">
      <c r="A797">
        <v>1106301</v>
      </c>
      <c r="B797" t="s">
        <v>15</v>
      </c>
      <c r="C797" t="s">
        <v>34</v>
      </c>
      <c r="D797">
        <v>45</v>
      </c>
      <c r="E797" t="s">
        <v>35</v>
      </c>
      <c r="F797" s="1">
        <v>42455.349305555559</v>
      </c>
      <c r="G797" t="s">
        <v>1051</v>
      </c>
      <c r="H797" t="s">
        <v>86</v>
      </c>
      <c r="I797" t="s">
        <v>1263</v>
      </c>
      <c r="J797">
        <v>8</v>
      </c>
      <c r="K797" t="s">
        <v>68</v>
      </c>
      <c r="L797" t="s">
        <v>31</v>
      </c>
      <c r="M797" t="s">
        <v>57</v>
      </c>
      <c r="N797" t="s">
        <v>93</v>
      </c>
      <c r="O797" t="s">
        <v>33</v>
      </c>
    </row>
    <row r="798" spans="1:15" x14ac:dyDescent="0.35">
      <c r="A798">
        <v>817331</v>
      </c>
      <c r="B798" t="s">
        <v>15</v>
      </c>
      <c r="C798" t="s">
        <v>78</v>
      </c>
      <c r="D798">
        <v>16</v>
      </c>
      <c r="E798" t="s">
        <v>35</v>
      </c>
      <c r="F798" s="1">
        <v>42425.525000000001</v>
      </c>
      <c r="G798" t="s">
        <v>1264</v>
      </c>
      <c r="H798" t="s">
        <v>54</v>
      </c>
      <c r="I798" t="s">
        <v>1265</v>
      </c>
      <c r="J798">
        <v>12</v>
      </c>
      <c r="K798" t="s">
        <v>63</v>
      </c>
      <c r="L798" t="s">
        <v>50</v>
      </c>
      <c r="M798" t="s">
        <v>23</v>
      </c>
      <c r="N798" t="s">
        <v>32</v>
      </c>
      <c r="O798" t="s">
        <v>44</v>
      </c>
    </row>
    <row r="799" spans="1:15" x14ac:dyDescent="0.35">
      <c r="A799">
        <v>2368568</v>
      </c>
      <c r="B799" t="s">
        <v>15</v>
      </c>
      <c r="C799" t="s">
        <v>34</v>
      </c>
      <c r="D799">
        <v>49</v>
      </c>
      <c r="E799" t="s">
        <v>64</v>
      </c>
      <c r="F799" s="1">
        <v>42447.301388888889</v>
      </c>
      <c r="G799" t="s">
        <v>1055</v>
      </c>
      <c r="H799" t="s">
        <v>116</v>
      </c>
      <c r="I799" t="s">
        <v>1266</v>
      </c>
      <c r="J799">
        <v>7</v>
      </c>
      <c r="K799" t="s">
        <v>42</v>
      </c>
      <c r="L799" t="s">
        <v>31</v>
      </c>
      <c r="M799" t="s">
        <v>23</v>
      </c>
      <c r="N799" t="s">
        <v>43</v>
      </c>
      <c r="O799" t="s">
        <v>33</v>
      </c>
    </row>
    <row r="800" spans="1:15" x14ac:dyDescent="0.35">
      <c r="A800">
        <v>2368568</v>
      </c>
      <c r="B800" t="s">
        <v>15</v>
      </c>
      <c r="C800" t="s">
        <v>34</v>
      </c>
      <c r="D800">
        <v>49</v>
      </c>
      <c r="E800" t="s">
        <v>64</v>
      </c>
      <c r="F800" s="1">
        <v>42448.775000000001</v>
      </c>
      <c r="G800" t="s">
        <v>707</v>
      </c>
      <c r="H800" t="s">
        <v>116</v>
      </c>
      <c r="I800" t="s">
        <v>1267</v>
      </c>
      <c r="J800">
        <v>18</v>
      </c>
      <c r="K800" t="s">
        <v>68</v>
      </c>
      <c r="L800" t="s">
        <v>31</v>
      </c>
      <c r="M800" t="s">
        <v>57</v>
      </c>
      <c r="N800" t="s">
        <v>43</v>
      </c>
      <c r="O800" t="s">
        <v>25</v>
      </c>
    </row>
    <row r="801" spans="1:15" x14ac:dyDescent="0.35">
      <c r="A801">
        <v>2368568</v>
      </c>
      <c r="B801" t="s">
        <v>15</v>
      </c>
      <c r="C801" t="s">
        <v>34</v>
      </c>
      <c r="D801">
        <v>49</v>
      </c>
      <c r="E801" t="s">
        <v>64</v>
      </c>
      <c r="F801" s="1">
        <v>42449.686805555553</v>
      </c>
      <c r="G801" t="s">
        <v>76</v>
      </c>
      <c r="H801" t="s">
        <v>71</v>
      </c>
      <c r="I801" t="s">
        <v>1268</v>
      </c>
      <c r="J801">
        <v>16</v>
      </c>
      <c r="K801" t="s">
        <v>56</v>
      </c>
      <c r="L801" t="s">
        <v>31</v>
      </c>
      <c r="M801" t="s">
        <v>57</v>
      </c>
      <c r="N801" t="s">
        <v>43</v>
      </c>
      <c r="O801" t="s">
        <v>44</v>
      </c>
    </row>
    <row r="802" spans="1:15" x14ac:dyDescent="0.35">
      <c r="A802">
        <v>2368568</v>
      </c>
      <c r="B802" t="s">
        <v>15</v>
      </c>
      <c r="C802" t="s">
        <v>34</v>
      </c>
      <c r="D802">
        <v>49</v>
      </c>
      <c r="E802" t="s">
        <v>64</v>
      </c>
      <c r="F802" s="1">
        <v>42445.234722222223</v>
      </c>
      <c r="G802" t="s">
        <v>373</v>
      </c>
      <c r="H802" t="s">
        <v>106</v>
      </c>
      <c r="I802" t="s">
        <v>1269</v>
      </c>
      <c r="J802">
        <v>5</v>
      </c>
      <c r="K802" t="s">
        <v>30</v>
      </c>
      <c r="L802" t="s">
        <v>31</v>
      </c>
      <c r="M802" t="s">
        <v>23</v>
      </c>
      <c r="N802" t="s">
        <v>43</v>
      </c>
      <c r="O802" t="s">
        <v>33</v>
      </c>
    </row>
    <row r="803" spans="1:15" x14ac:dyDescent="0.35">
      <c r="A803">
        <v>2368568</v>
      </c>
      <c r="B803" t="s">
        <v>15</v>
      </c>
      <c r="C803" t="s">
        <v>34</v>
      </c>
      <c r="D803">
        <v>49</v>
      </c>
      <c r="E803" t="s">
        <v>64</v>
      </c>
      <c r="F803" s="1">
        <v>42444.896527777775</v>
      </c>
      <c r="G803" t="s">
        <v>1270</v>
      </c>
      <c r="H803" t="s">
        <v>54</v>
      </c>
      <c r="I803" t="s">
        <v>1271</v>
      </c>
      <c r="J803">
        <v>21</v>
      </c>
      <c r="K803" t="s">
        <v>49</v>
      </c>
      <c r="L803" t="s">
        <v>31</v>
      </c>
      <c r="M803" t="s">
        <v>23</v>
      </c>
      <c r="N803" t="s">
        <v>43</v>
      </c>
      <c r="O803" t="s">
        <v>25</v>
      </c>
    </row>
    <row r="804" spans="1:15" x14ac:dyDescent="0.35">
      <c r="A804">
        <v>809056</v>
      </c>
      <c r="B804" t="s">
        <v>15</v>
      </c>
      <c r="C804" t="s">
        <v>16</v>
      </c>
      <c r="D804">
        <v>43</v>
      </c>
      <c r="E804" t="s">
        <v>17</v>
      </c>
      <c r="F804" s="1">
        <v>42405.604861111111</v>
      </c>
      <c r="G804" t="s">
        <v>1272</v>
      </c>
      <c r="H804" t="s">
        <v>54</v>
      </c>
      <c r="I804" t="s">
        <v>1273</v>
      </c>
      <c r="J804">
        <v>14</v>
      </c>
      <c r="K804" t="s">
        <v>42</v>
      </c>
      <c r="L804" t="s">
        <v>50</v>
      </c>
      <c r="M804" t="s">
        <v>23</v>
      </c>
      <c r="N804" t="s">
        <v>93</v>
      </c>
      <c r="O804" t="s">
        <v>44</v>
      </c>
    </row>
    <row r="805" spans="1:15" x14ac:dyDescent="0.35">
      <c r="A805">
        <v>809056</v>
      </c>
      <c r="B805" t="s">
        <v>15</v>
      </c>
      <c r="C805" t="s">
        <v>16</v>
      </c>
      <c r="D805">
        <v>43</v>
      </c>
      <c r="E805" t="s">
        <v>17</v>
      </c>
      <c r="F805" s="1">
        <v>42426.459722222222</v>
      </c>
      <c r="G805" t="s">
        <v>1274</v>
      </c>
      <c r="H805" t="s">
        <v>28</v>
      </c>
      <c r="I805" t="s">
        <v>1275</v>
      </c>
      <c r="J805">
        <v>11</v>
      </c>
      <c r="K805" t="s">
        <v>42</v>
      </c>
      <c r="L805" t="s">
        <v>50</v>
      </c>
      <c r="M805" t="s">
        <v>23</v>
      </c>
      <c r="N805" t="s">
        <v>93</v>
      </c>
      <c r="O805" t="s">
        <v>44</v>
      </c>
    </row>
    <row r="806" spans="1:15" x14ac:dyDescent="0.35">
      <c r="A806">
        <v>809056</v>
      </c>
      <c r="B806" t="s">
        <v>15</v>
      </c>
      <c r="C806" t="s">
        <v>16</v>
      </c>
      <c r="D806">
        <v>43</v>
      </c>
      <c r="E806" t="s">
        <v>17</v>
      </c>
      <c r="F806" s="1">
        <v>42415.659722222219</v>
      </c>
      <c r="G806" t="s">
        <v>1051</v>
      </c>
      <c r="H806" t="s">
        <v>91</v>
      </c>
      <c r="I806" t="s">
        <v>1276</v>
      </c>
      <c r="J806">
        <v>15</v>
      </c>
      <c r="K806" t="s">
        <v>21</v>
      </c>
      <c r="L806" t="s">
        <v>50</v>
      </c>
      <c r="M806" t="s">
        <v>23</v>
      </c>
      <c r="N806" t="s">
        <v>93</v>
      </c>
      <c r="O806" t="s">
        <v>44</v>
      </c>
    </row>
    <row r="807" spans="1:15" x14ac:dyDescent="0.35">
      <c r="A807">
        <v>809056</v>
      </c>
      <c r="B807" t="s">
        <v>15</v>
      </c>
      <c r="C807" t="s">
        <v>16</v>
      </c>
      <c r="D807">
        <v>43</v>
      </c>
      <c r="E807" t="s">
        <v>17</v>
      </c>
      <c r="F807" s="1">
        <v>42420.395138888889</v>
      </c>
      <c r="G807" t="s">
        <v>1112</v>
      </c>
      <c r="H807" t="s">
        <v>19</v>
      </c>
      <c r="I807" t="s">
        <v>1277</v>
      </c>
      <c r="J807">
        <v>9</v>
      </c>
      <c r="K807" t="s">
        <v>68</v>
      </c>
      <c r="L807" t="s">
        <v>50</v>
      </c>
      <c r="M807" t="s">
        <v>57</v>
      </c>
      <c r="N807" t="s">
        <v>93</v>
      </c>
      <c r="O807" t="s">
        <v>33</v>
      </c>
    </row>
    <row r="808" spans="1:15" x14ac:dyDescent="0.35">
      <c r="A808">
        <v>809056</v>
      </c>
      <c r="B808" t="s">
        <v>15</v>
      </c>
      <c r="C808" t="s">
        <v>16</v>
      </c>
      <c r="D808">
        <v>43</v>
      </c>
      <c r="E808" t="s">
        <v>17</v>
      </c>
      <c r="F808" s="1">
        <v>42420.396527777775</v>
      </c>
      <c r="G808" t="s">
        <v>206</v>
      </c>
      <c r="H808" t="s">
        <v>86</v>
      </c>
      <c r="I808" t="s">
        <v>1278</v>
      </c>
      <c r="J808">
        <v>9</v>
      </c>
      <c r="K808" t="s">
        <v>68</v>
      </c>
      <c r="L808" t="s">
        <v>50</v>
      </c>
      <c r="M808" t="s">
        <v>57</v>
      </c>
      <c r="N808" t="s">
        <v>93</v>
      </c>
      <c r="O808" t="s">
        <v>33</v>
      </c>
    </row>
    <row r="809" spans="1:15" x14ac:dyDescent="0.35">
      <c r="A809">
        <v>809056</v>
      </c>
      <c r="B809" t="s">
        <v>15</v>
      </c>
      <c r="C809" t="s">
        <v>16</v>
      </c>
      <c r="D809">
        <v>43</v>
      </c>
      <c r="E809" t="s">
        <v>17</v>
      </c>
      <c r="F809" s="1">
        <v>42414.477083333331</v>
      </c>
      <c r="G809" t="s">
        <v>1252</v>
      </c>
      <c r="H809" t="s">
        <v>54</v>
      </c>
      <c r="I809" t="s">
        <v>1279</v>
      </c>
      <c r="J809">
        <v>11</v>
      </c>
      <c r="K809" t="s">
        <v>56</v>
      </c>
      <c r="L809" t="s">
        <v>50</v>
      </c>
      <c r="M809" t="s">
        <v>57</v>
      </c>
      <c r="N809" t="s">
        <v>93</v>
      </c>
      <c r="O809" t="s">
        <v>44</v>
      </c>
    </row>
    <row r="810" spans="1:15" x14ac:dyDescent="0.35">
      <c r="A810">
        <v>809056</v>
      </c>
      <c r="B810" t="s">
        <v>15</v>
      </c>
      <c r="C810" t="s">
        <v>16</v>
      </c>
      <c r="D810">
        <v>43</v>
      </c>
      <c r="E810" t="s">
        <v>17</v>
      </c>
      <c r="F810" s="1">
        <v>42421.636805555558</v>
      </c>
      <c r="G810" t="s">
        <v>1065</v>
      </c>
      <c r="H810" t="s">
        <v>19</v>
      </c>
      <c r="I810" t="s">
        <v>1280</v>
      </c>
      <c r="J810">
        <v>15</v>
      </c>
      <c r="K810" t="s">
        <v>56</v>
      </c>
      <c r="L810" t="s">
        <v>50</v>
      </c>
      <c r="M810" t="s">
        <v>57</v>
      </c>
      <c r="N810" t="s">
        <v>93</v>
      </c>
      <c r="O810" t="s">
        <v>44</v>
      </c>
    </row>
    <row r="811" spans="1:15" x14ac:dyDescent="0.35">
      <c r="A811">
        <v>809056</v>
      </c>
      <c r="B811" t="s">
        <v>15</v>
      </c>
      <c r="C811" t="s">
        <v>16</v>
      </c>
      <c r="D811">
        <v>43</v>
      </c>
      <c r="E811" t="s">
        <v>17</v>
      </c>
      <c r="F811" s="1">
        <v>42402.762499999997</v>
      </c>
      <c r="G811" t="s">
        <v>578</v>
      </c>
      <c r="H811" t="s">
        <v>106</v>
      </c>
      <c r="I811" t="s">
        <v>1281</v>
      </c>
      <c r="J811">
        <v>18</v>
      </c>
      <c r="K811" t="s">
        <v>49</v>
      </c>
      <c r="L811" t="s">
        <v>50</v>
      </c>
      <c r="M811" t="s">
        <v>23</v>
      </c>
      <c r="N811" t="s">
        <v>93</v>
      </c>
      <c r="O811" t="s">
        <v>25</v>
      </c>
    </row>
    <row r="812" spans="1:15" x14ac:dyDescent="0.35">
      <c r="A812">
        <v>809056</v>
      </c>
      <c r="B812" t="s">
        <v>15</v>
      </c>
      <c r="C812" t="s">
        <v>16</v>
      </c>
      <c r="D812">
        <v>43</v>
      </c>
      <c r="E812" t="s">
        <v>17</v>
      </c>
      <c r="F812" s="1">
        <v>42425.322916666664</v>
      </c>
      <c r="G812" t="s">
        <v>1282</v>
      </c>
      <c r="H812" t="s">
        <v>28</v>
      </c>
      <c r="I812" t="s">
        <v>1283</v>
      </c>
      <c r="J812">
        <v>7</v>
      </c>
      <c r="K812" t="s">
        <v>63</v>
      </c>
      <c r="L812" t="s">
        <v>50</v>
      </c>
      <c r="M812" t="s">
        <v>23</v>
      </c>
      <c r="N812" t="s">
        <v>93</v>
      </c>
      <c r="O812" t="s">
        <v>33</v>
      </c>
    </row>
    <row r="813" spans="1:15" x14ac:dyDescent="0.35">
      <c r="A813">
        <v>809056</v>
      </c>
      <c r="B813" t="s">
        <v>15</v>
      </c>
      <c r="C813" t="s">
        <v>16</v>
      </c>
      <c r="D813">
        <v>43</v>
      </c>
      <c r="E813" t="s">
        <v>17</v>
      </c>
      <c r="F813" s="1">
        <v>42437.362500000003</v>
      </c>
      <c r="G813" t="s">
        <v>1284</v>
      </c>
      <c r="H813" t="s">
        <v>19</v>
      </c>
      <c r="I813" t="s">
        <v>1285</v>
      </c>
      <c r="J813">
        <v>8</v>
      </c>
      <c r="K813" t="s">
        <v>49</v>
      </c>
      <c r="L813" t="s">
        <v>31</v>
      </c>
      <c r="M813" t="s">
        <v>23</v>
      </c>
      <c r="N813" t="s">
        <v>93</v>
      </c>
      <c r="O813" t="s">
        <v>33</v>
      </c>
    </row>
    <row r="814" spans="1:15" x14ac:dyDescent="0.35">
      <c r="A814">
        <v>809056</v>
      </c>
      <c r="B814" t="s">
        <v>15</v>
      </c>
      <c r="C814" t="s">
        <v>16</v>
      </c>
      <c r="D814">
        <v>43</v>
      </c>
      <c r="E814" t="s">
        <v>17</v>
      </c>
      <c r="F814" s="1">
        <v>42370.804861111108</v>
      </c>
      <c r="G814" t="s">
        <v>420</v>
      </c>
      <c r="H814" t="s">
        <v>19</v>
      </c>
      <c r="I814" t="s">
        <v>1286</v>
      </c>
      <c r="J814">
        <v>19</v>
      </c>
      <c r="K814" t="s">
        <v>42</v>
      </c>
      <c r="L814" t="s">
        <v>22</v>
      </c>
      <c r="M814" t="s">
        <v>23</v>
      </c>
      <c r="N814" t="s">
        <v>93</v>
      </c>
      <c r="O814" t="s">
        <v>25</v>
      </c>
    </row>
    <row r="815" spans="1:15" x14ac:dyDescent="0.35">
      <c r="A815">
        <v>809056</v>
      </c>
      <c r="B815" t="s">
        <v>15</v>
      </c>
      <c r="C815" t="s">
        <v>16</v>
      </c>
      <c r="D815">
        <v>43</v>
      </c>
      <c r="E815" t="s">
        <v>17</v>
      </c>
      <c r="F815" s="1">
        <v>42396.90625</v>
      </c>
      <c r="G815" t="s">
        <v>675</v>
      </c>
      <c r="H815" t="s">
        <v>19</v>
      </c>
      <c r="I815" t="s">
        <v>1287</v>
      </c>
      <c r="J815">
        <v>21</v>
      </c>
      <c r="K815" t="s">
        <v>30</v>
      </c>
      <c r="L815" t="s">
        <v>22</v>
      </c>
      <c r="M815" t="s">
        <v>23</v>
      </c>
      <c r="N815" t="s">
        <v>93</v>
      </c>
      <c r="O815" t="s">
        <v>25</v>
      </c>
    </row>
    <row r="816" spans="1:15" x14ac:dyDescent="0.35">
      <c r="A816">
        <v>809056</v>
      </c>
      <c r="B816" t="s">
        <v>15</v>
      </c>
      <c r="C816" t="s">
        <v>16</v>
      </c>
      <c r="D816">
        <v>43</v>
      </c>
      <c r="E816" t="s">
        <v>17</v>
      </c>
      <c r="F816" s="1">
        <v>42381.51458333333</v>
      </c>
      <c r="G816" t="s">
        <v>403</v>
      </c>
      <c r="H816" t="s">
        <v>71</v>
      </c>
      <c r="I816" t="s">
        <v>1288</v>
      </c>
      <c r="J816">
        <v>12</v>
      </c>
      <c r="K816" t="s">
        <v>49</v>
      </c>
      <c r="L816" t="s">
        <v>22</v>
      </c>
      <c r="M816" t="s">
        <v>23</v>
      </c>
      <c r="N816" t="s">
        <v>93</v>
      </c>
      <c r="O816" t="s">
        <v>44</v>
      </c>
    </row>
    <row r="817" spans="1:15" x14ac:dyDescent="0.35">
      <c r="A817">
        <v>809056</v>
      </c>
      <c r="B817" t="s">
        <v>15</v>
      </c>
      <c r="C817" t="s">
        <v>16</v>
      </c>
      <c r="D817">
        <v>43</v>
      </c>
      <c r="E817" t="s">
        <v>17</v>
      </c>
      <c r="F817" s="1">
        <v>42375.810416666667</v>
      </c>
      <c r="G817" t="s">
        <v>1289</v>
      </c>
      <c r="H817" t="s">
        <v>19</v>
      </c>
      <c r="I817" t="s">
        <v>1290</v>
      </c>
      <c r="J817">
        <v>19</v>
      </c>
      <c r="K817" t="s">
        <v>30</v>
      </c>
      <c r="L817" t="s">
        <v>22</v>
      </c>
      <c r="M817" t="s">
        <v>23</v>
      </c>
      <c r="N817" t="s">
        <v>93</v>
      </c>
      <c r="O817" t="s">
        <v>25</v>
      </c>
    </row>
    <row r="818" spans="1:15" x14ac:dyDescent="0.35">
      <c r="A818">
        <v>809056</v>
      </c>
      <c r="B818" t="s">
        <v>15</v>
      </c>
      <c r="C818" t="s">
        <v>16</v>
      </c>
      <c r="D818">
        <v>43</v>
      </c>
      <c r="E818" t="s">
        <v>17</v>
      </c>
      <c r="F818" s="1">
        <v>42412.915972222225</v>
      </c>
      <c r="G818" t="s">
        <v>233</v>
      </c>
      <c r="H818" t="s">
        <v>66</v>
      </c>
      <c r="I818" t="s">
        <v>1291</v>
      </c>
      <c r="J818">
        <v>21</v>
      </c>
      <c r="K818" t="s">
        <v>42</v>
      </c>
      <c r="L818" t="s">
        <v>50</v>
      </c>
      <c r="M818" t="s">
        <v>23</v>
      </c>
      <c r="N818" t="s">
        <v>93</v>
      </c>
      <c r="O818" t="s">
        <v>25</v>
      </c>
    </row>
    <row r="819" spans="1:15" x14ac:dyDescent="0.35">
      <c r="A819">
        <v>809056</v>
      </c>
      <c r="B819" t="s">
        <v>15</v>
      </c>
      <c r="C819" t="s">
        <v>16</v>
      </c>
      <c r="D819">
        <v>43</v>
      </c>
      <c r="E819" t="s">
        <v>17</v>
      </c>
      <c r="F819" s="1">
        <v>42371.789583333331</v>
      </c>
      <c r="G819" t="s">
        <v>1292</v>
      </c>
      <c r="H819" t="s">
        <v>51</v>
      </c>
      <c r="I819" t="s">
        <v>1293</v>
      </c>
      <c r="J819">
        <v>18</v>
      </c>
      <c r="K819" t="s">
        <v>68</v>
      </c>
      <c r="L819" t="s">
        <v>22</v>
      </c>
      <c r="M819" t="s">
        <v>57</v>
      </c>
      <c r="N819" t="s">
        <v>93</v>
      </c>
      <c r="O819" t="s">
        <v>25</v>
      </c>
    </row>
    <row r="820" spans="1:15" x14ac:dyDescent="0.35">
      <c r="A820">
        <v>809056</v>
      </c>
      <c r="B820" t="s">
        <v>15</v>
      </c>
      <c r="C820" t="s">
        <v>16</v>
      </c>
      <c r="D820">
        <v>43</v>
      </c>
      <c r="E820" t="s">
        <v>17</v>
      </c>
      <c r="F820" s="1">
        <v>42370.268055555556</v>
      </c>
      <c r="G820" t="s">
        <v>439</v>
      </c>
      <c r="H820" t="s">
        <v>19</v>
      </c>
      <c r="I820" t="s">
        <v>1294</v>
      </c>
      <c r="J820">
        <v>6</v>
      </c>
      <c r="K820" t="s">
        <v>42</v>
      </c>
      <c r="L820" t="s">
        <v>22</v>
      </c>
      <c r="M820" t="s">
        <v>23</v>
      </c>
      <c r="N820" t="s">
        <v>93</v>
      </c>
      <c r="O820" t="s">
        <v>33</v>
      </c>
    </row>
    <row r="821" spans="1:15" x14ac:dyDescent="0.35">
      <c r="A821">
        <v>809056</v>
      </c>
      <c r="B821" t="s">
        <v>15</v>
      </c>
      <c r="C821" t="s">
        <v>16</v>
      </c>
      <c r="D821">
        <v>43</v>
      </c>
      <c r="E821" t="s">
        <v>17</v>
      </c>
      <c r="F821" s="1">
        <v>42433.960416666669</v>
      </c>
      <c r="G821" t="s">
        <v>1295</v>
      </c>
      <c r="H821" t="s">
        <v>19</v>
      </c>
      <c r="I821" t="s">
        <v>1296</v>
      </c>
      <c r="J821">
        <v>23</v>
      </c>
      <c r="K821" t="s">
        <v>42</v>
      </c>
      <c r="L821" t="s">
        <v>31</v>
      </c>
      <c r="M821" t="s">
        <v>23</v>
      </c>
      <c r="N821" t="s">
        <v>93</v>
      </c>
      <c r="O821" t="s">
        <v>104</v>
      </c>
    </row>
    <row r="822" spans="1:15" x14ac:dyDescent="0.35">
      <c r="A822">
        <v>809056</v>
      </c>
      <c r="B822" t="s">
        <v>15</v>
      </c>
      <c r="C822" t="s">
        <v>16</v>
      </c>
      <c r="D822">
        <v>43</v>
      </c>
      <c r="E822" t="s">
        <v>17</v>
      </c>
      <c r="F822" s="1">
        <v>42434.559027777781</v>
      </c>
      <c r="G822" t="s">
        <v>143</v>
      </c>
      <c r="H822" t="s">
        <v>28</v>
      </c>
      <c r="I822" t="s">
        <v>1297</v>
      </c>
      <c r="J822">
        <v>13</v>
      </c>
      <c r="K822" t="s">
        <v>68</v>
      </c>
      <c r="L822" t="s">
        <v>31</v>
      </c>
      <c r="M822" t="s">
        <v>57</v>
      </c>
      <c r="N822" t="s">
        <v>93</v>
      </c>
      <c r="O822" t="s">
        <v>44</v>
      </c>
    </row>
    <row r="823" spans="1:15" x14ac:dyDescent="0.35">
      <c r="A823">
        <v>809056</v>
      </c>
      <c r="B823" t="s">
        <v>15</v>
      </c>
      <c r="C823" t="s">
        <v>16</v>
      </c>
      <c r="D823">
        <v>43</v>
      </c>
      <c r="E823" t="s">
        <v>17</v>
      </c>
      <c r="F823" s="1">
        <v>42418.956944444442</v>
      </c>
      <c r="G823" t="s">
        <v>215</v>
      </c>
      <c r="H823" t="s">
        <v>179</v>
      </c>
      <c r="I823" t="s">
        <v>1298</v>
      </c>
      <c r="J823">
        <v>22</v>
      </c>
      <c r="K823" t="s">
        <v>63</v>
      </c>
      <c r="L823" t="s">
        <v>50</v>
      </c>
      <c r="M823" t="s">
        <v>23</v>
      </c>
      <c r="N823" t="s">
        <v>93</v>
      </c>
      <c r="O823" t="s">
        <v>104</v>
      </c>
    </row>
    <row r="824" spans="1:15" x14ac:dyDescent="0.35">
      <c r="A824">
        <v>809056</v>
      </c>
      <c r="B824" t="s">
        <v>15</v>
      </c>
      <c r="C824" t="s">
        <v>16</v>
      </c>
      <c r="D824">
        <v>43</v>
      </c>
      <c r="E824" t="s">
        <v>17</v>
      </c>
      <c r="F824" s="1">
        <v>42412.730555555558</v>
      </c>
      <c r="G824" t="s">
        <v>36</v>
      </c>
      <c r="H824" t="s">
        <v>54</v>
      </c>
      <c r="I824" t="s">
        <v>1299</v>
      </c>
      <c r="J824">
        <v>17</v>
      </c>
      <c r="K824" t="s">
        <v>42</v>
      </c>
      <c r="L824" t="s">
        <v>50</v>
      </c>
      <c r="M824" t="s">
        <v>23</v>
      </c>
      <c r="N824" t="s">
        <v>93</v>
      </c>
      <c r="O824" t="s">
        <v>25</v>
      </c>
    </row>
    <row r="825" spans="1:15" x14ac:dyDescent="0.35">
      <c r="A825">
        <v>809056</v>
      </c>
      <c r="B825" t="s">
        <v>15</v>
      </c>
      <c r="C825" t="s">
        <v>16</v>
      </c>
      <c r="D825">
        <v>43</v>
      </c>
      <c r="E825" t="s">
        <v>17</v>
      </c>
      <c r="F825" s="1">
        <v>42460.689583333333</v>
      </c>
      <c r="G825" t="s">
        <v>474</v>
      </c>
      <c r="H825" t="s">
        <v>51</v>
      </c>
      <c r="I825" t="s">
        <v>1300</v>
      </c>
      <c r="J825">
        <v>16</v>
      </c>
      <c r="K825" t="s">
        <v>63</v>
      </c>
      <c r="L825" t="s">
        <v>31</v>
      </c>
      <c r="M825" t="s">
        <v>23</v>
      </c>
      <c r="N825" t="s">
        <v>93</v>
      </c>
      <c r="O825" t="s">
        <v>44</v>
      </c>
    </row>
    <row r="826" spans="1:15" x14ac:dyDescent="0.35">
      <c r="A826">
        <v>809056</v>
      </c>
      <c r="B826" t="s">
        <v>15</v>
      </c>
      <c r="C826" t="s">
        <v>16</v>
      </c>
      <c r="D826">
        <v>43</v>
      </c>
      <c r="E826" t="s">
        <v>17</v>
      </c>
      <c r="F826" s="1">
        <v>42459.470138888886</v>
      </c>
      <c r="G826" t="s">
        <v>130</v>
      </c>
      <c r="H826" t="s">
        <v>54</v>
      </c>
      <c r="I826" t="s">
        <v>258</v>
      </c>
      <c r="J826">
        <v>11</v>
      </c>
      <c r="K826" t="s">
        <v>30</v>
      </c>
      <c r="L826" t="s">
        <v>31</v>
      </c>
      <c r="M826" t="s">
        <v>23</v>
      </c>
      <c r="N826" t="s">
        <v>93</v>
      </c>
      <c r="O826" t="s">
        <v>44</v>
      </c>
    </row>
    <row r="827" spans="1:15" x14ac:dyDescent="0.35">
      <c r="A827">
        <v>809056</v>
      </c>
      <c r="B827" t="s">
        <v>15</v>
      </c>
      <c r="C827" t="s">
        <v>16</v>
      </c>
      <c r="D827">
        <v>43</v>
      </c>
      <c r="E827" t="s">
        <v>17</v>
      </c>
      <c r="F827" s="1">
        <v>42455.949305555558</v>
      </c>
      <c r="G827" t="s">
        <v>455</v>
      </c>
      <c r="H827" t="s">
        <v>251</v>
      </c>
      <c r="I827" t="s">
        <v>1301</v>
      </c>
      <c r="J827">
        <v>22</v>
      </c>
      <c r="K827" t="s">
        <v>68</v>
      </c>
      <c r="L827" t="s">
        <v>31</v>
      </c>
      <c r="M827" t="s">
        <v>57</v>
      </c>
      <c r="N827" t="s">
        <v>93</v>
      </c>
      <c r="O827" t="s">
        <v>104</v>
      </c>
    </row>
    <row r="828" spans="1:15" x14ac:dyDescent="0.35">
      <c r="A828">
        <v>809056</v>
      </c>
      <c r="B828" t="s">
        <v>15</v>
      </c>
      <c r="C828" t="s">
        <v>16</v>
      </c>
      <c r="D828">
        <v>43</v>
      </c>
      <c r="E828" t="s">
        <v>17</v>
      </c>
      <c r="F828" s="1">
        <v>42430.384722222225</v>
      </c>
      <c r="G828" t="s">
        <v>213</v>
      </c>
      <c r="H828" t="s">
        <v>28</v>
      </c>
      <c r="I828" t="s">
        <v>1302</v>
      </c>
      <c r="J828">
        <v>9</v>
      </c>
      <c r="K828" t="s">
        <v>49</v>
      </c>
      <c r="L828" t="s">
        <v>31</v>
      </c>
      <c r="M828" t="s">
        <v>23</v>
      </c>
      <c r="N828" t="s">
        <v>93</v>
      </c>
      <c r="O828" t="s">
        <v>33</v>
      </c>
    </row>
    <row r="829" spans="1:15" x14ac:dyDescent="0.35">
      <c r="A829">
        <v>809056</v>
      </c>
      <c r="B829" t="s">
        <v>15</v>
      </c>
      <c r="C829" t="s">
        <v>16</v>
      </c>
      <c r="D829">
        <v>43</v>
      </c>
      <c r="E829" t="s">
        <v>17</v>
      </c>
      <c r="F829" s="1">
        <v>42458.666666666664</v>
      </c>
      <c r="G829" t="s">
        <v>1303</v>
      </c>
      <c r="H829" t="s">
        <v>28</v>
      </c>
      <c r="I829" t="s">
        <v>1304</v>
      </c>
      <c r="J829">
        <v>16</v>
      </c>
      <c r="K829" t="s">
        <v>49</v>
      </c>
      <c r="L829" t="s">
        <v>31</v>
      </c>
      <c r="M829" t="s">
        <v>23</v>
      </c>
      <c r="N829" t="s">
        <v>93</v>
      </c>
      <c r="O829" t="s">
        <v>44</v>
      </c>
    </row>
    <row r="830" spans="1:15" x14ac:dyDescent="0.35">
      <c r="A830">
        <v>809056</v>
      </c>
      <c r="B830" t="s">
        <v>15</v>
      </c>
      <c r="C830" t="s">
        <v>16</v>
      </c>
      <c r="D830">
        <v>43</v>
      </c>
      <c r="E830" t="s">
        <v>17</v>
      </c>
      <c r="F830" s="1">
        <v>42413</v>
      </c>
      <c r="G830" t="s">
        <v>253</v>
      </c>
      <c r="H830" t="s">
        <v>116</v>
      </c>
      <c r="I830" t="s">
        <v>1305</v>
      </c>
      <c r="J830">
        <v>0</v>
      </c>
      <c r="K830" t="s">
        <v>68</v>
      </c>
      <c r="L830" t="s">
        <v>50</v>
      </c>
      <c r="M830" t="s">
        <v>57</v>
      </c>
      <c r="N830" t="s">
        <v>93</v>
      </c>
      <c r="O830" t="s">
        <v>58</v>
      </c>
    </row>
    <row r="831" spans="1:15" x14ac:dyDescent="0.35">
      <c r="A831">
        <v>779505</v>
      </c>
      <c r="B831" t="s">
        <v>15</v>
      </c>
      <c r="C831" t="s">
        <v>78</v>
      </c>
      <c r="D831">
        <v>22</v>
      </c>
      <c r="E831" t="s">
        <v>35</v>
      </c>
      <c r="F831" s="1">
        <v>42406.786805555559</v>
      </c>
      <c r="G831" t="s">
        <v>649</v>
      </c>
      <c r="H831" t="s">
        <v>54</v>
      </c>
      <c r="I831" t="s">
        <v>1306</v>
      </c>
      <c r="J831">
        <v>18</v>
      </c>
      <c r="K831" t="s">
        <v>68</v>
      </c>
      <c r="L831" t="s">
        <v>50</v>
      </c>
      <c r="M831" t="s">
        <v>57</v>
      </c>
      <c r="N831" t="s">
        <v>69</v>
      </c>
      <c r="O831" t="s">
        <v>25</v>
      </c>
    </row>
    <row r="832" spans="1:15" x14ac:dyDescent="0.35">
      <c r="A832">
        <v>831826</v>
      </c>
      <c r="B832" t="s">
        <v>15</v>
      </c>
      <c r="C832" t="s">
        <v>34</v>
      </c>
      <c r="D832">
        <v>31</v>
      </c>
      <c r="E832" t="s">
        <v>45</v>
      </c>
      <c r="F832" s="1">
        <v>42428.324999999997</v>
      </c>
      <c r="G832" t="s">
        <v>532</v>
      </c>
      <c r="H832" t="s">
        <v>47</v>
      </c>
      <c r="I832" t="s">
        <v>1307</v>
      </c>
      <c r="J832">
        <v>7</v>
      </c>
      <c r="K832" t="s">
        <v>56</v>
      </c>
      <c r="L832" t="s">
        <v>50</v>
      </c>
      <c r="M832" t="s">
        <v>57</v>
      </c>
      <c r="N832" t="s">
        <v>24</v>
      </c>
      <c r="O832" t="s">
        <v>33</v>
      </c>
    </row>
    <row r="833" spans="1:15" x14ac:dyDescent="0.35">
      <c r="A833">
        <v>831826</v>
      </c>
      <c r="B833" t="s">
        <v>15</v>
      </c>
      <c r="C833" t="s">
        <v>34</v>
      </c>
      <c r="D833">
        <v>31</v>
      </c>
      <c r="E833" t="s">
        <v>45</v>
      </c>
      <c r="F833" s="1">
        <v>42428.520138888889</v>
      </c>
      <c r="G833" t="s">
        <v>1308</v>
      </c>
      <c r="H833" t="s">
        <v>28</v>
      </c>
      <c r="I833" t="s">
        <v>1309</v>
      </c>
      <c r="J833">
        <v>12</v>
      </c>
      <c r="K833" t="s">
        <v>56</v>
      </c>
      <c r="L833" t="s">
        <v>50</v>
      </c>
      <c r="M833" t="s">
        <v>57</v>
      </c>
      <c r="N833" t="s">
        <v>24</v>
      </c>
      <c r="O833" t="s">
        <v>44</v>
      </c>
    </row>
    <row r="834" spans="1:15" x14ac:dyDescent="0.35">
      <c r="A834">
        <v>939723</v>
      </c>
      <c r="B834" t="s">
        <v>15</v>
      </c>
      <c r="C834" t="s">
        <v>78</v>
      </c>
      <c r="D834">
        <v>31</v>
      </c>
      <c r="E834" t="s">
        <v>35</v>
      </c>
      <c r="F834" s="1">
        <v>42459.696527777778</v>
      </c>
      <c r="G834" t="s">
        <v>1310</v>
      </c>
      <c r="H834" t="s">
        <v>28</v>
      </c>
      <c r="I834" t="s">
        <v>1311</v>
      </c>
      <c r="J834">
        <v>16</v>
      </c>
      <c r="K834" t="s">
        <v>30</v>
      </c>
      <c r="L834" t="s">
        <v>31</v>
      </c>
      <c r="M834" t="s">
        <v>23</v>
      </c>
      <c r="N834" t="s">
        <v>24</v>
      </c>
      <c r="O834" t="s">
        <v>44</v>
      </c>
    </row>
    <row r="835" spans="1:15" x14ac:dyDescent="0.35">
      <c r="A835">
        <v>764451</v>
      </c>
      <c r="B835" t="s">
        <v>38</v>
      </c>
      <c r="C835" t="s">
        <v>34</v>
      </c>
      <c r="D835">
        <v>27</v>
      </c>
      <c r="E835" t="s">
        <v>35</v>
      </c>
      <c r="F835" s="1">
        <v>42380.549305555556</v>
      </c>
      <c r="G835" t="s">
        <v>1312</v>
      </c>
      <c r="H835" t="s">
        <v>19</v>
      </c>
      <c r="I835" t="s">
        <v>1313</v>
      </c>
      <c r="J835">
        <v>13</v>
      </c>
      <c r="K835" t="s">
        <v>21</v>
      </c>
      <c r="L835" t="s">
        <v>22</v>
      </c>
      <c r="M835" t="s">
        <v>23</v>
      </c>
      <c r="N835" t="s">
        <v>69</v>
      </c>
      <c r="O835" t="s">
        <v>44</v>
      </c>
    </row>
    <row r="836" spans="1:15" x14ac:dyDescent="0.35">
      <c r="A836">
        <v>930111</v>
      </c>
      <c r="B836" t="s">
        <v>15</v>
      </c>
      <c r="C836" t="s">
        <v>78</v>
      </c>
      <c r="D836">
        <v>29</v>
      </c>
      <c r="E836" t="s">
        <v>35</v>
      </c>
      <c r="F836" s="1">
        <v>42459.877083333333</v>
      </c>
      <c r="G836" t="s">
        <v>76</v>
      </c>
      <c r="H836" t="s">
        <v>51</v>
      </c>
      <c r="I836" t="s">
        <v>1314</v>
      </c>
      <c r="J836">
        <v>21</v>
      </c>
      <c r="K836" t="s">
        <v>30</v>
      </c>
      <c r="L836" t="s">
        <v>31</v>
      </c>
      <c r="M836" t="s">
        <v>23</v>
      </c>
      <c r="N836" t="s">
        <v>24</v>
      </c>
      <c r="O836" t="s">
        <v>25</v>
      </c>
    </row>
    <row r="837" spans="1:15" x14ac:dyDescent="0.35">
      <c r="A837">
        <v>793693</v>
      </c>
      <c r="B837" t="s">
        <v>15</v>
      </c>
      <c r="C837" t="s">
        <v>78</v>
      </c>
      <c r="D837">
        <v>25</v>
      </c>
      <c r="E837" t="s">
        <v>35</v>
      </c>
      <c r="F837" s="1">
        <v>42415.275694444441</v>
      </c>
      <c r="G837" t="s">
        <v>59</v>
      </c>
      <c r="H837" t="s">
        <v>47</v>
      </c>
      <c r="I837" t="s">
        <v>1315</v>
      </c>
      <c r="J837">
        <v>6</v>
      </c>
      <c r="K837" t="s">
        <v>21</v>
      </c>
      <c r="L837" t="s">
        <v>50</v>
      </c>
      <c r="M837" t="s">
        <v>23</v>
      </c>
      <c r="N837" t="s">
        <v>69</v>
      </c>
      <c r="O837" t="s">
        <v>33</v>
      </c>
    </row>
    <row r="838" spans="1:15" x14ac:dyDescent="0.35">
      <c r="A838">
        <v>793693</v>
      </c>
      <c r="B838" t="s">
        <v>15</v>
      </c>
      <c r="C838" t="s">
        <v>78</v>
      </c>
      <c r="D838">
        <v>25</v>
      </c>
      <c r="E838" t="s">
        <v>35</v>
      </c>
      <c r="F838" s="1">
        <v>42415.299305555556</v>
      </c>
      <c r="G838" t="s">
        <v>76</v>
      </c>
      <c r="H838" t="s">
        <v>106</v>
      </c>
      <c r="I838" t="s">
        <v>1316</v>
      </c>
      <c r="J838">
        <v>7</v>
      </c>
      <c r="K838" t="s">
        <v>21</v>
      </c>
      <c r="L838" t="s">
        <v>50</v>
      </c>
      <c r="M838" t="s">
        <v>23</v>
      </c>
      <c r="N838" t="s">
        <v>69</v>
      </c>
      <c r="O838" t="s">
        <v>33</v>
      </c>
    </row>
    <row r="839" spans="1:15" x14ac:dyDescent="0.35">
      <c r="A839">
        <v>793693</v>
      </c>
      <c r="B839" t="s">
        <v>15</v>
      </c>
      <c r="C839" t="s">
        <v>78</v>
      </c>
      <c r="D839">
        <v>25</v>
      </c>
      <c r="E839" t="s">
        <v>35</v>
      </c>
      <c r="F839" s="1">
        <v>42419.362500000003</v>
      </c>
      <c r="G839" t="s">
        <v>76</v>
      </c>
      <c r="H839" t="s">
        <v>54</v>
      </c>
      <c r="I839" t="s">
        <v>1317</v>
      </c>
      <c r="J839">
        <v>8</v>
      </c>
      <c r="K839" t="s">
        <v>42</v>
      </c>
      <c r="L839" t="s">
        <v>50</v>
      </c>
      <c r="M839" t="s">
        <v>23</v>
      </c>
      <c r="N839" t="s">
        <v>69</v>
      </c>
      <c r="O839" t="s">
        <v>33</v>
      </c>
    </row>
    <row r="840" spans="1:15" x14ac:dyDescent="0.35">
      <c r="A840">
        <v>793693</v>
      </c>
      <c r="B840" t="s">
        <v>15</v>
      </c>
      <c r="C840" t="s">
        <v>78</v>
      </c>
      <c r="D840">
        <v>25</v>
      </c>
      <c r="E840" t="s">
        <v>35</v>
      </c>
      <c r="F840" s="1">
        <v>42414.345833333333</v>
      </c>
      <c r="G840" t="s">
        <v>65</v>
      </c>
      <c r="H840" t="s">
        <v>106</v>
      </c>
      <c r="I840" t="s">
        <v>1318</v>
      </c>
      <c r="J840">
        <v>8</v>
      </c>
      <c r="K840" t="s">
        <v>56</v>
      </c>
      <c r="L840" t="s">
        <v>50</v>
      </c>
      <c r="M840" t="s">
        <v>57</v>
      </c>
      <c r="N840" t="s">
        <v>69</v>
      </c>
      <c r="O840" t="s">
        <v>33</v>
      </c>
    </row>
    <row r="841" spans="1:15" x14ac:dyDescent="0.35">
      <c r="A841">
        <v>549032</v>
      </c>
      <c r="B841" t="s">
        <v>15</v>
      </c>
      <c r="C841" t="s">
        <v>78</v>
      </c>
      <c r="D841">
        <v>42</v>
      </c>
      <c r="E841" t="s">
        <v>35</v>
      </c>
      <c r="F841" s="1">
        <v>42381.855555555558</v>
      </c>
      <c r="G841" t="s">
        <v>1319</v>
      </c>
      <c r="H841" t="s">
        <v>86</v>
      </c>
      <c r="I841" t="s">
        <v>1320</v>
      </c>
      <c r="J841">
        <v>20</v>
      </c>
      <c r="K841" t="s">
        <v>49</v>
      </c>
      <c r="L841" t="s">
        <v>22</v>
      </c>
      <c r="M841" t="s">
        <v>23</v>
      </c>
      <c r="N841" t="s">
        <v>93</v>
      </c>
      <c r="O841" t="s">
        <v>25</v>
      </c>
    </row>
    <row r="842" spans="1:15" x14ac:dyDescent="0.35">
      <c r="A842">
        <v>549032</v>
      </c>
      <c r="B842" t="s">
        <v>15</v>
      </c>
      <c r="C842" t="s">
        <v>78</v>
      </c>
      <c r="D842">
        <v>42</v>
      </c>
      <c r="E842" t="s">
        <v>35</v>
      </c>
      <c r="F842" s="1">
        <v>42381.897916666669</v>
      </c>
      <c r="G842" t="s">
        <v>1321</v>
      </c>
      <c r="H842" t="s">
        <v>51</v>
      </c>
      <c r="I842" t="s">
        <v>1322</v>
      </c>
      <c r="J842">
        <v>21</v>
      </c>
      <c r="K842" t="s">
        <v>49</v>
      </c>
      <c r="L842" t="s">
        <v>22</v>
      </c>
      <c r="M842" t="s">
        <v>23</v>
      </c>
      <c r="N842" t="s">
        <v>93</v>
      </c>
      <c r="O842" t="s">
        <v>25</v>
      </c>
    </row>
    <row r="843" spans="1:15" x14ac:dyDescent="0.35">
      <c r="A843">
        <v>597265</v>
      </c>
      <c r="B843" t="s">
        <v>15</v>
      </c>
      <c r="C843" t="s">
        <v>78</v>
      </c>
      <c r="D843">
        <v>28</v>
      </c>
      <c r="E843" t="s">
        <v>35</v>
      </c>
      <c r="F843" s="1">
        <v>42378.4375</v>
      </c>
      <c r="G843" t="s">
        <v>1323</v>
      </c>
      <c r="H843" t="s">
        <v>66</v>
      </c>
      <c r="I843" t="s">
        <v>1324</v>
      </c>
      <c r="J843">
        <v>10</v>
      </c>
      <c r="K843" t="s">
        <v>68</v>
      </c>
      <c r="L843" t="s">
        <v>22</v>
      </c>
      <c r="M843" t="s">
        <v>57</v>
      </c>
      <c r="N843" t="s">
        <v>69</v>
      </c>
      <c r="O843" t="s">
        <v>33</v>
      </c>
    </row>
    <row r="844" spans="1:15" x14ac:dyDescent="0.35">
      <c r="A844">
        <v>597265</v>
      </c>
      <c r="B844" t="s">
        <v>15</v>
      </c>
      <c r="C844" t="s">
        <v>78</v>
      </c>
      <c r="D844">
        <v>28</v>
      </c>
      <c r="E844" t="s">
        <v>35</v>
      </c>
      <c r="F844" s="1">
        <v>42386.677083333336</v>
      </c>
      <c r="G844" t="s">
        <v>1325</v>
      </c>
      <c r="H844" t="s">
        <v>19</v>
      </c>
      <c r="I844" t="s">
        <v>1326</v>
      </c>
      <c r="J844">
        <v>16</v>
      </c>
      <c r="K844" t="s">
        <v>56</v>
      </c>
      <c r="L844" t="s">
        <v>22</v>
      </c>
      <c r="M844" t="s">
        <v>57</v>
      </c>
      <c r="N844" t="s">
        <v>69</v>
      </c>
      <c r="O844" t="s">
        <v>44</v>
      </c>
    </row>
    <row r="845" spans="1:15" x14ac:dyDescent="0.35">
      <c r="A845">
        <v>597265</v>
      </c>
      <c r="B845" t="s">
        <v>15</v>
      </c>
      <c r="C845" t="s">
        <v>78</v>
      </c>
      <c r="D845">
        <v>28</v>
      </c>
      <c r="E845" t="s">
        <v>35</v>
      </c>
      <c r="F845" s="1">
        <v>42377.563194444447</v>
      </c>
      <c r="G845" t="s">
        <v>1327</v>
      </c>
      <c r="H845" t="s">
        <v>54</v>
      </c>
      <c r="I845" t="s">
        <v>1328</v>
      </c>
      <c r="J845">
        <v>13</v>
      </c>
      <c r="K845" t="s">
        <v>42</v>
      </c>
      <c r="L845" t="s">
        <v>22</v>
      </c>
      <c r="M845" t="s">
        <v>23</v>
      </c>
      <c r="N845" t="s">
        <v>69</v>
      </c>
      <c r="O845" t="s">
        <v>44</v>
      </c>
    </row>
    <row r="846" spans="1:15" x14ac:dyDescent="0.35">
      <c r="A846">
        <v>806431</v>
      </c>
      <c r="B846" t="s">
        <v>15</v>
      </c>
      <c r="C846" t="s">
        <v>78</v>
      </c>
      <c r="D846">
        <v>41</v>
      </c>
      <c r="E846" t="s">
        <v>45</v>
      </c>
      <c r="F846" s="1">
        <v>42402.773611111108</v>
      </c>
      <c r="G846" t="s">
        <v>1010</v>
      </c>
      <c r="H846" t="s">
        <v>86</v>
      </c>
      <c r="I846" t="s">
        <v>1329</v>
      </c>
      <c r="J846">
        <v>18</v>
      </c>
      <c r="K846" t="s">
        <v>49</v>
      </c>
      <c r="L846" t="s">
        <v>50</v>
      </c>
      <c r="M846" t="s">
        <v>23</v>
      </c>
      <c r="N846" t="s">
        <v>93</v>
      </c>
      <c r="O846" t="s">
        <v>25</v>
      </c>
    </row>
    <row r="847" spans="1:15" x14ac:dyDescent="0.35">
      <c r="A847">
        <v>771924</v>
      </c>
      <c r="B847" t="s">
        <v>38</v>
      </c>
      <c r="C847" t="s">
        <v>78</v>
      </c>
      <c r="D847">
        <v>31</v>
      </c>
      <c r="E847" t="s">
        <v>35</v>
      </c>
      <c r="F847" s="1">
        <v>42409.413194444445</v>
      </c>
      <c r="G847" t="s">
        <v>668</v>
      </c>
      <c r="H847" t="s">
        <v>106</v>
      </c>
      <c r="I847" t="s">
        <v>1330</v>
      </c>
      <c r="J847">
        <v>9</v>
      </c>
      <c r="K847" t="s">
        <v>49</v>
      </c>
      <c r="L847" t="s">
        <v>50</v>
      </c>
      <c r="M847" t="s">
        <v>23</v>
      </c>
      <c r="N847" t="s">
        <v>24</v>
      </c>
      <c r="O847" t="s">
        <v>33</v>
      </c>
    </row>
    <row r="848" spans="1:15" x14ac:dyDescent="0.35">
      <c r="A848">
        <v>869019</v>
      </c>
      <c r="B848" t="s">
        <v>15</v>
      </c>
      <c r="C848" t="s">
        <v>39</v>
      </c>
      <c r="D848">
        <v>42</v>
      </c>
      <c r="E848" t="s">
        <v>35</v>
      </c>
      <c r="F848" s="1">
        <v>42444.446527777778</v>
      </c>
      <c r="G848" t="s">
        <v>1312</v>
      </c>
      <c r="H848" t="s">
        <v>28</v>
      </c>
      <c r="I848" t="s">
        <v>1331</v>
      </c>
      <c r="J848">
        <v>10</v>
      </c>
      <c r="K848" t="s">
        <v>49</v>
      </c>
      <c r="L848" t="s">
        <v>31</v>
      </c>
      <c r="M848" t="s">
        <v>23</v>
      </c>
      <c r="N848" t="s">
        <v>93</v>
      </c>
      <c r="O848" t="s">
        <v>33</v>
      </c>
    </row>
    <row r="849" spans="1:15" x14ac:dyDescent="0.35">
      <c r="A849">
        <v>869019</v>
      </c>
      <c r="B849" t="s">
        <v>15</v>
      </c>
      <c r="C849" t="s">
        <v>39</v>
      </c>
      <c r="D849">
        <v>42</v>
      </c>
      <c r="E849" t="s">
        <v>35</v>
      </c>
      <c r="F849" s="1">
        <v>42455.272222222222</v>
      </c>
      <c r="G849" t="s">
        <v>960</v>
      </c>
      <c r="H849" t="s">
        <v>51</v>
      </c>
      <c r="I849" t="s">
        <v>1332</v>
      </c>
      <c r="J849">
        <v>6</v>
      </c>
      <c r="K849" t="s">
        <v>68</v>
      </c>
      <c r="L849" t="s">
        <v>31</v>
      </c>
      <c r="M849" t="s">
        <v>57</v>
      </c>
      <c r="N849" t="s">
        <v>93</v>
      </c>
      <c r="O849" t="s">
        <v>33</v>
      </c>
    </row>
    <row r="850" spans="1:15" x14ac:dyDescent="0.35">
      <c r="A850">
        <v>789265</v>
      </c>
      <c r="B850" t="s">
        <v>15</v>
      </c>
      <c r="C850" t="s">
        <v>39</v>
      </c>
      <c r="D850">
        <v>32</v>
      </c>
      <c r="E850" t="s">
        <v>335</v>
      </c>
      <c r="F850" s="1">
        <v>42408.964583333334</v>
      </c>
      <c r="G850" t="s">
        <v>1333</v>
      </c>
      <c r="H850" t="s">
        <v>51</v>
      </c>
      <c r="I850" t="s">
        <v>1334</v>
      </c>
      <c r="J850">
        <v>23</v>
      </c>
      <c r="K850" t="s">
        <v>21</v>
      </c>
      <c r="L850" t="s">
        <v>50</v>
      </c>
      <c r="M850" t="s">
        <v>23</v>
      </c>
      <c r="N850" t="s">
        <v>24</v>
      </c>
      <c r="O850" t="s">
        <v>104</v>
      </c>
    </row>
    <row r="851" spans="1:15" x14ac:dyDescent="0.35">
      <c r="A851">
        <v>882400</v>
      </c>
      <c r="B851" t="s">
        <v>15</v>
      </c>
      <c r="C851" t="s">
        <v>39</v>
      </c>
      <c r="D851">
        <v>24</v>
      </c>
      <c r="E851" t="s">
        <v>35</v>
      </c>
      <c r="F851" s="1">
        <v>42448.77847222222</v>
      </c>
      <c r="G851" t="s">
        <v>461</v>
      </c>
      <c r="H851" t="s">
        <v>71</v>
      </c>
      <c r="I851" t="s">
        <v>1335</v>
      </c>
      <c r="J851">
        <v>18</v>
      </c>
      <c r="K851" t="s">
        <v>68</v>
      </c>
      <c r="L851" t="s">
        <v>31</v>
      </c>
      <c r="M851" t="s">
        <v>57</v>
      </c>
      <c r="N851" t="s">
        <v>69</v>
      </c>
      <c r="O851" t="s">
        <v>25</v>
      </c>
    </row>
    <row r="852" spans="1:15" x14ac:dyDescent="0.35">
      <c r="A852">
        <v>918332</v>
      </c>
      <c r="B852" t="s">
        <v>38</v>
      </c>
      <c r="C852" t="s">
        <v>34</v>
      </c>
      <c r="D852">
        <v>23</v>
      </c>
      <c r="E852" t="s">
        <v>35</v>
      </c>
      <c r="F852" s="1">
        <v>42457.861805555556</v>
      </c>
      <c r="G852" t="s">
        <v>227</v>
      </c>
      <c r="H852" t="s">
        <v>71</v>
      </c>
      <c r="I852" t="s">
        <v>1336</v>
      </c>
      <c r="J852">
        <v>20</v>
      </c>
      <c r="K852" t="s">
        <v>21</v>
      </c>
      <c r="L852" t="s">
        <v>31</v>
      </c>
      <c r="M852" t="s">
        <v>23</v>
      </c>
      <c r="N852" t="s">
        <v>69</v>
      </c>
      <c r="O852" t="s">
        <v>25</v>
      </c>
    </row>
    <row r="853" spans="1:15" x14ac:dyDescent="0.35">
      <c r="A853">
        <v>918332</v>
      </c>
      <c r="B853" t="s">
        <v>38</v>
      </c>
      <c r="C853" t="s">
        <v>34</v>
      </c>
      <c r="D853">
        <v>23</v>
      </c>
      <c r="E853" t="s">
        <v>35</v>
      </c>
      <c r="F853" s="1">
        <v>42459.600694444445</v>
      </c>
      <c r="G853" t="s">
        <v>18</v>
      </c>
      <c r="H853" t="s">
        <v>28</v>
      </c>
      <c r="I853" t="s">
        <v>1337</v>
      </c>
      <c r="J853">
        <v>14</v>
      </c>
      <c r="K853" t="s">
        <v>30</v>
      </c>
      <c r="L853" t="s">
        <v>31</v>
      </c>
      <c r="M853" t="s">
        <v>23</v>
      </c>
      <c r="N853" t="s">
        <v>69</v>
      </c>
      <c r="O853" t="s">
        <v>44</v>
      </c>
    </row>
    <row r="854" spans="1:15" x14ac:dyDescent="0.35">
      <c r="A854">
        <v>918332</v>
      </c>
      <c r="B854" t="s">
        <v>38</v>
      </c>
      <c r="C854" t="s">
        <v>34</v>
      </c>
      <c r="D854">
        <v>23</v>
      </c>
      <c r="E854" t="s">
        <v>35</v>
      </c>
      <c r="F854" s="1">
        <v>42458.365972222222</v>
      </c>
      <c r="G854" t="s">
        <v>1338</v>
      </c>
      <c r="H854" t="s">
        <v>86</v>
      </c>
      <c r="I854" t="s">
        <v>1339</v>
      </c>
      <c r="J854">
        <v>8</v>
      </c>
      <c r="K854" t="s">
        <v>49</v>
      </c>
      <c r="L854" t="s">
        <v>31</v>
      </c>
      <c r="M854" t="s">
        <v>23</v>
      </c>
      <c r="N854" t="s">
        <v>69</v>
      </c>
      <c r="O854" t="s">
        <v>33</v>
      </c>
    </row>
    <row r="855" spans="1:15" x14ac:dyDescent="0.35">
      <c r="A855">
        <v>809063</v>
      </c>
      <c r="B855" t="s">
        <v>15</v>
      </c>
      <c r="C855" t="s">
        <v>78</v>
      </c>
      <c r="D855">
        <v>32</v>
      </c>
      <c r="E855" t="s">
        <v>35</v>
      </c>
      <c r="F855" s="1">
        <v>42420.540277777778</v>
      </c>
      <c r="G855" t="s">
        <v>570</v>
      </c>
      <c r="H855" t="s">
        <v>19</v>
      </c>
      <c r="I855" t="s">
        <v>1340</v>
      </c>
      <c r="J855">
        <v>12</v>
      </c>
      <c r="K855" t="s">
        <v>68</v>
      </c>
      <c r="L855" t="s">
        <v>50</v>
      </c>
      <c r="M855" t="s">
        <v>57</v>
      </c>
      <c r="N855" t="s">
        <v>24</v>
      </c>
      <c r="O855" t="s">
        <v>44</v>
      </c>
    </row>
    <row r="856" spans="1:15" x14ac:dyDescent="0.35">
      <c r="A856">
        <v>809063</v>
      </c>
      <c r="B856" t="s">
        <v>15</v>
      </c>
      <c r="C856" t="s">
        <v>78</v>
      </c>
      <c r="D856">
        <v>32</v>
      </c>
      <c r="E856" t="s">
        <v>35</v>
      </c>
      <c r="F856" s="1">
        <v>42420.46875</v>
      </c>
      <c r="G856" t="s">
        <v>181</v>
      </c>
      <c r="H856" t="s">
        <v>86</v>
      </c>
      <c r="I856" t="s">
        <v>1341</v>
      </c>
      <c r="J856">
        <v>11</v>
      </c>
      <c r="K856" t="s">
        <v>68</v>
      </c>
      <c r="L856" t="s">
        <v>50</v>
      </c>
      <c r="M856" t="s">
        <v>57</v>
      </c>
      <c r="N856" t="s">
        <v>24</v>
      </c>
      <c r="O856" t="s">
        <v>44</v>
      </c>
    </row>
    <row r="857" spans="1:15" x14ac:dyDescent="0.35">
      <c r="A857">
        <v>809063</v>
      </c>
      <c r="B857" t="s">
        <v>15</v>
      </c>
      <c r="C857" t="s">
        <v>78</v>
      </c>
      <c r="D857">
        <v>32</v>
      </c>
      <c r="E857" t="s">
        <v>35</v>
      </c>
      <c r="F857" s="1">
        <v>42424.291666666664</v>
      </c>
      <c r="G857" t="s">
        <v>1342</v>
      </c>
      <c r="H857" t="s">
        <v>86</v>
      </c>
      <c r="I857" t="s">
        <v>1343</v>
      </c>
      <c r="J857">
        <v>7</v>
      </c>
      <c r="K857" t="s">
        <v>30</v>
      </c>
      <c r="L857" t="s">
        <v>50</v>
      </c>
      <c r="M857" t="s">
        <v>23</v>
      </c>
      <c r="N857" t="s">
        <v>24</v>
      </c>
      <c r="O857" t="s">
        <v>33</v>
      </c>
    </row>
    <row r="858" spans="1:15" x14ac:dyDescent="0.35">
      <c r="A858">
        <v>2368583</v>
      </c>
      <c r="B858" t="s">
        <v>15</v>
      </c>
      <c r="C858" t="s">
        <v>34</v>
      </c>
      <c r="D858">
        <v>27</v>
      </c>
      <c r="E858" t="s">
        <v>134</v>
      </c>
      <c r="F858" s="1">
        <v>42426.685416666667</v>
      </c>
      <c r="G858" t="s">
        <v>1344</v>
      </c>
      <c r="H858" t="s">
        <v>28</v>
      </c>
      <c r="I858" t="s">
        <v>1345</v>
      </c>
      <c r="J858">
        <v>16</v>
      </c>
      <c r="K858" t="s">
        <v>42</v>
      </c>
      <c r="L858" t="s">
        <v>50</v>
      </c>
      <c r="M858" t="s">
        <v>23</v>
      </c>
      <c r="N858" t="s">
        <v>69</v>
      </c>
      <c r="O858" t="s">
        <v>44</v>
      </c>
    </row>
    <row r="859" spans="1:15" x14ac:dyDescent="0.35">
      <c r="A859">
        <v>2368583</v>
      </c>
      <c r="B859" t="s">
        <v>15</v>
      </c>
      <c r="C859" t="s">
        <v>34</v>
      </c>
      <c r="D859">
        <v>27</v>
      </c>
      <c r="E859" t="s">
        <v>134</v>
      </c>
      <c r="F859" s="1">
        <v>42419.384027777778</v>
      </c>
      <c r="G859" t="s">
        <v>304</v>
      </c>
      <c r="H859" t="s">
        <v>71</v>
      </c>
      <c r="I859" t="s">
        <v>1346</v>
      </c>
      <c r="J859">
        <v>9</v>
      </c>
      <c r="K859" t="s">
        <v>42</v>
      </c>
      <c r="L859" t="s">
        <v>50</v>
      </c>
      <c r="M859" t="s">
        <v>23</v>
      </c>
      <c r="N859" t="s">
        <v>69</v>
      </c>
      <c r="O859" t="s">
        <v>33</v>
      </c>
    </row>
    <row r="860" spans="1:15" x14ac:dyDescent="0.35">
      <c r="A860">
        <v>786181</v>
      </c>
      <c r="B860" t="s">
        <v>15</v>
      </c>
      <c r="C860" t="s">
        <v>78</v>
      </c>
      <c r="D860">
        <v>27</v>
      </c>
      <c r="E860" t="s">
        <v>35</v>
      </c>
      <c r="F860" s="1">
        <v>42434.801388888889</v>
      </c>
      <c r="G860" t="s">
        <v>439</v>
      </c>
      <c r="H860" t="s">
        <v>86</v>
      </c>
      <c r="I860" t="s">
        <v>1347</v>
      </c>
      <c r="J860">
        <v>19</v>
      </c>
      <c r="K860" t="s">
        <v>68</v>
      </c>
      <c r="L860" t="s">
        <v>31</v>
      </c>
      <c r="M860" t="s">
        <v>57</v>
      </c>
      <c r="N860" t="s">
        <v>69</v>
      </c>
      <c r="O860" t="s">
        <v>25</v>
      </c>
    </row>
    <row r="861" spans="1:15" x14ac:dyDescent="0.35">
      <c r="A861">
        <v>2285716</v>
      </c>
      <c r="B861" t="s">
        <v>15</v>
      </c>
      <c r="C861" t="s">
        <v>39</v>
      </c>
      <c r="D861">
        <v>27</v>
      </c>
      <c r="E861" t="s">
        <v>35</v>
      </c>
      <c r="F861" s="1">
        <v>42453.616666666669</v>
      </c>
      <c r="G861" t="s">
        <v>481</v>
      </c>
      <c r="H861" t="s">
        <v>71</v>
      </c>
      <c r="I861" t="s">
        <v>1348</v>
      </c>
      <c r="J861">
        <v>14</v>
      </c>
      <c r="K861" t="s">
        <v>63</v>
      </c>
      <c r="L861" t="s">
        <v>31</v>
      </c>
      <c r="M861" t="s">
        <v>23</v>
      </c>
      <c r="N861" t="s">
        <v>69</v>
      </c>
      <c r="O861" t="s">
        <v>44</v>
      </c>
    </row>
    <row r="862" spans="1:15" x14ac:dyDescent="0.35">
      <c r="A862">
        <v>2285716</v>
      </c>
      <c r="B862" t="s">
        <v>15</v>
      </c>
      <c r="C862" t="s">
        <v>39</v>
      </c>
      <c r="D862">
        <v>27</v>
      </c>
      <c r="E862" t="s">
        <v>35</v>
      </c>
      <c r="F862" s="1">
        <v>42458.740972222222</v>
      </c>
      <c r="G862" t="s">
        <v>96</v>
      </c>
      <c r="H862" t="s">
        <v>86</v>
      </c>
      <c r="I862" t="s">
        <v>1349</v>
      </c>
      <c r="J862">
        <v>17</v>
      </c>
      <c r="K862" t="s">
        <v>49</v>
      </c>
      <c r="L862" t="s">
        <v>31</v>
      </c>
      <c r="M862" t="s">
        <v>23</v>
      </c>
      <c r="N862" t="s">
        <v>69</v>
      </c>
      <c r="O862" t="s">
        <v>25</v>
      </c>
    </row>
    <row r="863" spans="1:15" x14ac:dyDescent="0.35">
      <c r="A863">
        <v>793697</v>
      </c>
      <c r="B863" t="s">
        <v>15</v>
      </c>
      <c r="C863" t="s">
        <v>26</v>
      </c>
      <c r="D863">
        <v>55</v>
      </c>
      <c r="E863" t="s">
        <v>64</v>
      </c>
      <c r="F863" s="1">
        <v>42425.588888888888</v>
      </c>
      <c r="G863" t="s">
        <v>726</v>
      </c>
      <c r="H863" t="s">
        <v>86</v>
      </c>
      <c r="I863" t="s">
        <v>1350</v>
      </c>
      <c r="J863">
        <v>14</v>
      </c>
      <c r="K863" t="s">
        <v>63</v>
      </c>
      <c r="L863" t="s">
        <v>50</v>
      </c>
      <c r="M863" t="s">
        <v>23</v>
      </c>
      <c r="N863" t="s">
        <v>43</v>
      </c>
      <c r="O863" t="s">
        <v>44</v>
      </c>
    </row>
    <row r="864" spans="1:15" x14ac:dyDescent="0.35">
      <c r="A864">
        <v>939729</v>
      </c>
      <c r="B864" t="s">
        <v>15</v>
      </c>
      <c r="C864" t="s">
        <v>16</v>
      </c>
      <c r="D864">
        <v>34</v>
      </c>
      <c r="E864" t="s">
        <v>45</v>
      </c>
      <c r="F864" s="1">
        <v>42434.368750000001</v>
      </c>
      <c r="G864" t="s">
        <v>1351</v>
      </c>
      <c r="H864" t="s">
        <v>28</v>
      </c>
      <c r="I864" t="s">
        <v>1352</v>
      </c>
      <c r="J864">
        <v>8</v>
      </c>
      <c r="K864" t="s">
        <v>68</v>
      </c>
      <c r="L864" t="s">
        <v>31</v>
      </c>
      <c r="M864" t="s">
        <v>57</v>
      </c>
      <c r="N864" t="s">
        <v>24</v>
      </c>
      <c r="O864" t="s">
        <v>33</v>
      </c>
    </row>
    <row r="865" spans="1:15" x14ac:dyDescent="0.35">
      <c r="A865">
        <v>939729</v>
      </c>
      <c r="B865" t="s">
        <v>15</v>
      </c>
      <c r="C865" t="s">
        <v>16</v>
      </c>
      <c r="D865">
        <v>34</v>
      </c>
      <c r="E865" t="s">
        <v>45</v>
      </c>
      <c r="F865" s="1">
        <v>42441.848611111112</v>
      </c>
      <c r="G865" t="s">
        <v>1353</v>
      </c>
      <c r="H865" t="s">
        <v>116</v>
      </c>
      <c r="I865" t="s">
        <v>1354</v>
      </c>
      <c r="J865">
        <v>20</v>
      </c>
      <c r="K865" t="s">
        <v>68</v>
      </c>
      <c r="L865" t="s">
        <v>31</v>
      </c>
      <c r="M865" t="s">
        <v>57</v>
      </c>
      <c r="N865" t="s">
        <v>24</v>
      </c>
      <c r="O865" t="s">
        <v>25</v>
      </c>
    </row>
    <row r="866" spans="1:15" x14ac:dyDescent="0.35">
      <c r="A866">
        <v>939732</v>
      </c>
      <c r="B866" t="s">
        <v>15</v>
      </c>
      <c r="C866" t="s">
        <v>78</v>
      </c>
      <c r="D866">
        <v>33</v>
      </c>
      <c r="E866" t="s">
        <v>35</v>
      </c>
      <c r="F866" s="1">
        <v>42453.798611111109</v>
      </c>
      <c r="G866" t="s">
        <v>1355</v>
      </c>
      <c r="H866" t="s">
        <v>116</v>
      </c>
      <c r="I866" t="s">
        <v>1356</v>
      </c>
      <c r="J866">
        <v>19</v>
      </c>
      <c r="K866" t="s">
        <v>63</v>
      </c>
      <c r="L866" t="s">
        <v>31</v>
      </c>
      <c r="M866" t="s">
        <v>23</v>
      </c>
      <c r="N866" t="s">
        <v>24</v>
      </c>
      <c r="O866" t="s">
        <v>25</v>
      </c>
    </row>
    <row r="867" spans="1:15" x14ac:dyDescent="0.35">
      <c r="A867">
        <v>939732</v>
      </c>
      <c r="B867" t="s">
        <v>15</v>
      </c>
      <c r="C867" t="s">
        <v>78</v>
      </c>
      <c r="D867">
        <v>33</v>
      </c>
      <c r="E867" t="s">
        <v>35</v>
      </c>
      <c r="F867" s="1">
        <v>42459.943055555559</v>
      </c>
      <c r="G867" t="s">
        <v>1357</v>
      </c>
      <c r="H867" t="s">
        <v>116</v>
      </c>
      <c r="I867" t="s">
        <v>1358</v>
      </c>
      <c r="J867">
        <v>22</v>
      </c>
      <c r="K867" t="s">
        <v>30</v>
      </c>
      <c r="L867" t="s">
        <v>31</v>
      </c>
      <c r="M867" t="s">
        <v>23</v>
      </c>
      <c r="N867" t="s">
        <v>24</v>
      </c>
      <c r="O867" t="s">
        <v>104</v>
      </c>
    </row>
    <row r="868" spans="1:15" x14ac:dyDescent="0.35">
      <c r="A868">
        <v>771927</v>
      </c>
      <c r="B868" t="s">
        <v>38</v>
      </c>
      <c r="C868" t="s">
        <v>26</v>
      </c>
      <c r="D868">
        <v>36</v>
      </c>
      <c r="E868" t="s">
        <v>17</v>
      </c>
      <c r="F868" s="1">
        <v>42400.380555555559</v>
      </c>
      <c r="G868" t="s">
        <v>1359</v>
      </c>
      <c r="H868" t="s">
        <v>71</v>
      </c>
      <c r="I868" t="s">
        <v>1360</v>
      </c>
      <c r="J868">
        <v>9</v>
      </c>
      <c r="K868" t="s">
        <v>56</v>
      </c>
      <c r="L868" t="s">
        <v>22</v>
      </c>
      <c r="M868" t="s">
        <v>57</v>
      </c>
      <c r="N868" t="s">
        <v>24</v>
      </c>
      <c r="O868" t="s">
        <v>33</v>
      </c>
    </row>
    <row r="869" spans="1:15" x14ac:dyDescent="0.35">
      <c r="A869">
        <v>771927</v>
      </c>
      <c r="B869" t="s">
        <v>38</v>
      </c>
      <c r="C869" t="s">
        <v>26</v>
      </c>
      <c r="D869">
        <v>36</v>
      </c>
      <c r="E869" t="s">
        <v>17</v>
      </c>
      <c r="F869" s="1">
        <v>42398.688888888886</v>
      </c>
      <c r="G869" t="s">
        <v>403</v>
      </c>
      <c r="H869" t="s">
        <v>116</v>
      </c>
      <c r="I869" t="s">
        <v>1361</v>
      </c>
      <c r="J869">
        <v>16</v>
      </c>
      <c r="K869" t="s">
        <v>42</v>
      </c>
      <c r="L869" t="s">
        <v>22</v>
      </c>
      <c r="M869" t="s">
        <v>23</v>
      </c>
      <c r="N869" t="s">
        <v>24</v>
      </c>
      <c r="O869" t="s">
        <v>44</v>
      </c>
    </row>
    <row r="870" spans="1:15" x14ac:dyDescent="0.35">
      <c r="A870">
        <v>771927</v>
      </c>
      <c r="B870" t="s">
        <v>38</v>
      </c>
      <c r="C870" t="s">
        <v>26</v>
      </c>
      <c r="D870">
        <v>36</v>
      </c>
      <c r="E870" t="s">
        <v>17</v>
      </c>
      <c r="F870" s="1">
        <v>42397.541666666664</v>
      </c>
      <c r="G870" t="s">
        <v>1362</v>
      </c>
      <c r="H870" t="s">
        <v>86</v>
      </c>
      <c r="I870" t="s">
        <v>1363</v>
      </c>
      <c r="J870">
        <v>13</v>
      </c>
      <c r="K870" t="s">
        <v>63</v>
      </c>
      <c r="L870" t="s">
        <v>22</v>
      </c>
      <c r="M870" t="s">
        <v>23</v>
      </c>
      <c r="N870" t="s">
        <v>24</v>
      </c>
      <c r="O870" t="s">
        <v>44</v>
      </c>
    </row>
    <row r="871" spans="1:15" x14ac:dyDescent="0.35">
      <c r="A871">
        <v>771927</v>
      </c>
      <c r="B871" t="s">
        <v>38</v>
      </c>
      <c r="C871" t="s">
        <v>26</v>
      </c>
      <c r="D871">
        <v>36</v>
      </c>
      <c r="E871" t="s">
        <v>17</v>
      </c>
      <c r="F871" s="1">
        <v>42401.341666666667</v>
      </c>
      <c r="G871" t="s">
        <v>1364</v>
      </c>
      <c r="H871" t="s">
        <v>71</v>
      </c>
      <c r="I871" t="s">
        <v>1365</v>
      </c>
      <c r="J871">
        <v>8</v>
      </c>
      <c r="K871" t="s">
        <v>21</v>
      </c>
      <c r="L871" t="s">
        <v>50</v>
      </c>
      <c r="M871" t="s">
        <v>23</v>
      </c>
      <c r="N871" t="s">
        <v>24</v>
      </c>
      <c r="O871" t="s">
        <v>33</v>
      </c>
    </row>
    <row r="872" spans="1:15" x14ac:dyDescent="0.35">
      <c r="A872">
        <v>771927</v>
      </c>
      <c r="B872" t="s">
        <v>38</v>
      </c>
      <c r="C872" t="s">
        <v>26</v>
      </c>
      <c r="D872">
        <v>36</v>
      </c>
      <c r="E872" t="s">
        <v>17</v>
      </c>
      <c r="F872" s="1">
        <v>42396.593055555553</v>
      </c>
      <c r="G872" t="s">
        <v>136</v>
      </c>
      <c r="H872" t="s">
        <v>71</v>
      </c>
      <c r="I872" t="s">
        <v>1366</v>
      </c>
      <c r="J872">
        <v>14</v>
      </c>
      <c r="K872" t="s">
        <v>30</v>
      </c>
      <c r="L872" t="s">
        <v>22</v>
      </c>
      <c r="M872" t="s">
        <v>23</v>
      </c>
      <c r="N872" t="s">
        <v>24</v>
      </c>
      <c r="O872" t="s">
        <v>44</v>
      </c>
    </row>
    <row r="873" spans="1:15" x14ac:dyDescent="0.35">
      <c r="A873">
        <v>771927</v>
      </c>
      <c r="B873" t="s">
        <v>38</v>
      </c>
      <c r="C873" t="s">
        <v>26</v>
      </c>
      <c r="D873">
        <v>36</v>
      </c>
      <c r="E873" t="s">
        <v>17</v>
      </c>
      <c r="F873" s="1">
        <v>42396.246527777781</v>
      </c>
      <c r="G873" t="s">
        <v>259</v>
      </c>
      <c r="H873" t="s">
        <v>86</v>
      </c>
      <c r="I873" t="s">
        <v>1367</v>
      </c>
      <c r="J873">
        <v>5</v>
      </c>
      <c r="K873" t="s">
        <v>30</v>
      </c>
      <c r="L873" t="s">
        <v>22</v>
      </c>
      <c r="M873" t="s">
        <v>23</v>
      </c>
      <c r="N873" t="s">
        <v>24</v>
      </c>
      <c r="O873" t="s">
        <v>33</v>
      </c>
    </row>
    <row r="874" spans="1:15" x14ac:dyDescent="0.35">
      <c r="A874">
        <v>771927</v>
      </c>
      <c r="B874" t="s">
        <v>38</v>
      </c>
      <c r="C874" t="s">
        <v>26</v>
      </c>
      <c r="D874">
        <v>36</v>
      </c>
      <c r="E874" t="s">
        <v>17</v>
      </c>
      <c r="F874" s="1">
        <v>42399.693749999999</v>
      </c>
      <c r="G874" t="s">
        <v>302</v>
      </c>
      <c r="H874" t="s">
        <v>66</v>
      </c>
      <c r="I874" t="s">
        <v>1368</v>
      </c>
      <c r="J874">
        <v>16</v>
      </c>
      <c r="K874" t="s">
        <v>68</v>
      </c>
      <c r="L874" t="s">
        <v>22</v>
      </c>
      <c r="M874" t="s">
        <v>57</v>
      </c>
      <c r="N874" t="s">
        <v>24</v>
      </c>
      <c r="O874" t="s">
        <v>44</v>
      </c>
    </row>
    <row r="875" spans="1:15" x14ac:dyDescent="0.35">
      <c r="A875">
        <v>432894</v>
      </c>
      <c r="B875" t="s">
        <v>38</v>
      </c>
      <c r="C875" t="s">
        <v>78</v>
      </c>
      <c r="D875">
        <v>35</v>
      </c>
      <c r="E875" t="s">
        <v>75</v>
      </c>
      <c r="F875" s="1">
        <v>42377.131944444445</v>
      </c>
      <c r="G875" t="s">
        <v>76</v>
      </c>
      <c r="H875" t="s">
        <v>86</v>
      </c>
      <c r="I875" t="s">
        <v>1369</v>
      </c>
      <c r="J875">
        <v>3</v>
      </c>
      <c r="K875" t="s">
        <v>42</v>
      </c>
      <c r="L875" t="s">
        <v>22</v>
      </c>
      <c r="M875" t="s">
        <v>23</v>
      </c>
      <c r="N875" t="s">
        <v>24</v>
      </c>
      <c r="O875" t="s">
        <v>58</v>
      </c>
    </row>
    <row r="876" spans="1:15" x14ac:dyDescent="0.35">
      <c r="A876">
        <v>492897</v>
      </c>
      <c r="B876" t="s">
        <v>15</v>
      </c>
      <c r="C876" t="s">
        <v>16</v>
      </c>
      <c r="D876">
        <v>23</v>
      </c>
      <c r="E876" t="s">
        <v>75</v>
      </c>
      <c r="F876" s="1">
        <v>42389.59097222222</v>
      </c>
      <c r="G876" t="s">
        <v>1370</v>
      </c>
      <c r="H876" t="s">
        <v>54</v>
      </c>
      <c r="I876" t="s">
        <v>1371</v>
      </c>
      <c r="J876">
        <v>14</v>
      </c>
      <c r="K876" t="s">
        <v>30</v>
      </c>
      <c r="L876" t="s">
        <v>22</v>
      </c>
      <c r="M876" t="s">
        <v>23</v>
      </c>
      <c r="N876" t="s">
        <v>69</v>
      </c>
      <c r="O876" t="s">
        <v>44</v>
      </c>
    </row>
    <row r="877" spans="1:15" x14ac:dyDescent="0.35">
      <c r="A877">
        <v>492897</v>
      </c>
      <c r="B877" t="s">
        <v>15</v>
      </c>
      <c r="C877" t="s">
        <v>16</v>
      </c>
      <c r="D877">
        <v>23</v>
      </c>
      <c r="E877" t="s">
        <v>75</v>
      </c>
      <c r="F877" s="1">
        <v>42387.959027777775</v>
      </c>
      <c r="G877" t="s">
        <v>759</v>
      </c>
      <c r="H877" t="s">
        <v>19</v>
      </c>
      <c r="I877" t="s">
        <v>1372</v>
      </c>
      <c r="J877">
        <v>23</v>
      </c>
      <c r="K877" t="s">
        <v>21</v>
      </c>
      <c r="L877" t="s">
        <v>22</v>
      </c>
      <c r="M877" t="s">
        <v>23</v>
      </c>
      <c r="N877" t="s">
        <v>69</v>
      </c>
      <c r="O877" t="s">
        <v>104</v>
      </c>
    </row>
    <row r="878" spans="1:15" x14ac:dyDescent="0.35">
      <c r="A878">
        <v>894339</v>
      </c>
      <c r="B878" t="s">
        <v>15</v>
      </c>
      <c r="C878" t="s">
        <v>34</v>
      </c>
      <c r="D878">
        <v>35</v>
      </c>
      <c r="E878" t="s">
        <v>64</v>
      </c>
      <c r="F878" s="1">
        <v>42452.512499999997</v>
      </c>
      <c r="G878" t="s">
        <v>76</v>
      </c>
      <c r="H878" t="s">
        <v>28</v>
      </c>
      <c r="I878" t="s">
        <v>1373</v>
      </c>
      <c r="J878">
        <v>12</v>
      </c>
      <c r="K878" t="s">
        <v>30</v>
      </c>
      <c r="L878" t="s">
        <v>31</v>
      </c>
      <c r="M878" t="s">
        <v>23</v>
      </c>
      <c r="N878" t="s">
        <v>24</v>
      </c>
      <c r="O878" t="s">
        <v>44</v>
      </c>
    </row>
    <row r="879" spans="1:15" x14ac:dyDescent="0.35">
      <c r="A879">
        <v>930123</v>
      </c>
      <c r="B879" t="s">
        <v>15</v>
      </c>
      <c r="C879" t="s">
        <v>34</v>
      </c>
      <c r="D879">
        <v>31</v>
      </c>
      <c r="E879" t="s">
        <v>35</v>
      </c>
      <c r="F879" s="1">
        <v>42460.40902777778</v>
      </c>
      <c r="G879" t="s">
        <v>168</v>
      </c>
      <c r="H879" t="s">
        <v>116</v>
      </c>
      <c r="I879" t="s">
        <v>1374</v>
      </c>
      <c r="J879">
        <v>9</v>
      </c>
      <c r="K879" t="s">
        <v>63</v>
      </c>
      <c r="L879" t="s">
        <v>31</v>
      </c>
      <c r="M879" t="s">
        <v>23</v>
      </c>
      <c r="N879" t="s">
        <v>24</v>
      </c>
      <c r="O879" t="s">
        <v>33</v>
      </c>
    </row>
    <row r="880" spans="1:15" x14ac:dyDescent="0.35">
      <c r="A880">
        <v>930123</v>
      </c>
      <c r="B880" t="s">
        <v>15</v>
      </c>
      <c r="C880" t="s">
        <v>34</v>
      </c>
      <c r="D880">
        <v>31</v>
      </c>
      <c r="E880" t="s">
        <v>35</v>
      </c>
      <c r="F880" s="1">
        <v>42460.827777777777</v>
      </c>
      <c r="G880" t="s">
        <v>1375</v>
      </c>
      <c r="H880" t="s">
        <v>86</v>
      </c>
      <c r="I880" t="s">
        <v>1376</v>
      </c>
      <c r="J880">
        <v>19</v>
      </c>
      <c r="K880" t="s">
        <v>63</v>
      </c>
      <c r="L880" t="s">
        <v>31</v>
      </c>
      <c r="M880" t="s">
        <v>23</v>
      </c>
      <c r="N880" t="s">
        <v>24</v>
      </c>
      <c r="O880" t="s">
        <v>25</v>
      </c>
    </row>
    <row r="881" spans="1:15" x14ac:dyDescent="0.35">
      <c r="A881">
        <v>592732</v>
      </c>
      <c r="B881" t="s">
        <v>15</v>
      </c>
      <c r="C881" t="s">
        <v>78</v>
      </c>
      <c r="D881">
        <v>45</v>
      </c>
      <c r="E881" t="s">
        <v>134</v>
      </c>
      <c r="F881" s="1">
        <v>42382.211111111108</v>
      </c>
      <c r="G881" t="s">
        <v>1377</v>
      </c>
      <c r="H881" t="s">
        <v>106</v>
      </c>
      <c r="I881" t="s">
        <v>1378</v>
      </c>
      <c r="J881">
        <v>5</v>
      </c>
      <c r="K881" t="s">
        <v>30</v>
      </c>
      <c r="L881" t="s">
        <v>22</v>
      </c>
      <c r="M881" t="s">
        <v>23</v>
      </c>
      <c r="N881" t="s">
        <v>93</v>
      </c>
      <c r="O881" t="s">
        <v>33</v>
      </c>
    </row>
    <row r="882" spans="1:15" x14ac:dyDescent="0.35">
      <c r="A882">
        <v>904340</v>
      </c>
      <c r="B882" t="s">
        <v>15</v>
      </c>
      <c r="C882" t="s">
        <v>34</v>
      </c>
      <c r="D882">
        <v>28</v>
      </c>
      <c r="E882" t="s">
        <v>35</v>
      </c>
      <c r="F882" s="1">
        <v>42456.734722222223</v>
      </c>
      <c r="G882" t="s">
        <v>36</v>
      </c>
      <c r="H882" t="s">
        <v>91</v>
      </c>
      <c r="I882" t="s">
        <v>1379</v>
      </c>
      <c r="J882">
        <v>17</v>
      </c>
      <c r="K882" t="s">
        <v>56</v>
      </c>
      <c r="L882" t="s">
        <v>31</v>
      </c>
      <c r="M882" t="s">
        <v>57</v>
      </c>
      <c r="N882" t="s">
        <v>69</v>
      </c>
      <c r="O882" t="s">
        <v>25</v>
      </c>
    </row>
    <row r="883" spans="1:15" x14ac:dyDescent="0.35">
      <c r="A883">
        <v>904340</v>
      </c>
      <c r="B883" t="s">
        <v>15</v>
      </c>
      <c r="C883" t="s">
        <v>34</v>
      </c>
      <c r="D883">
        <v>28</v>
      </c>
      <c r="E883" t="s">
        <v>35</v>
      </c>
      <c r="F883" s="1">
        <v>42456.739583333336</v>
      </c>
      <c r="G883" t="s">
        <v>470</v>
      </c>
      <c r="H883" t="s">
        <v>179</v>
      </c>
      <c r="I883" t="s">
        <v>1380</v>
      </c>
      <c r="J883">
        <v>17</v>
      </c>
      <c r="K883" t="s">
        <v>56</v>
      </c>
      <c r="L883" t="s">
        <v>31</v>
      </c>
      <c r="M883" t="s">
        <v>57</v>
      </c>
      <c r="N883" t="s">
        <v>69</v>
      </c>
      <c r="O883" t="s">
        <v>25</v>
      </c>
    </row>
    <row r="884" spans="1:15" x14ac:dyDescent="0.35">
      <c r="A884">
        <v>904340</v>
      </c>
      <c r="B884" t="s">
        <v>15</v>
      </c>
      <c r="C884" t="s">
        <v>34</v>
      </c>
      <c r="D884">
        <v>28</v>
      </c>
      <c r="E884" t="s">
        <v>35</v>
      </c>
      <c r="F884" s="1">
        <v>42455.895138888889</v>
      </c>
      <c r="G884" t="s">
        <v>76</v>
      </c>
      <c r="H884" t="s">
        <v>91</v>
      </c>
      <c r="I884" t="s">
        <v>1381</v>
      </c>
      <c r="J884">
        <v>21</v>
      </c>
      <c r="K884" t="s">
        <v>68</v>
      </c>
      <c r="L884" t="s">
        <v>31</v>
      </c>
      <c r="M884" t="s">
        <v>57</v>
      </c>
      <c r="N884" t="s">
        <v>69</v>
      </c>
      <c r="O884" t="s">
        <v>25</v>
      </c>
    </row>
    <row r="885" spans="1:15" x14ac:dyDescent="0.35">
      <c r="A885">
        <v>820491</v>
      </c>
      <c r="B885" t="s">
        <v>15</v>
      </c>
      <c r="C885" t="s">
        <v>78</v>
      </c>
      <c r="D885">
        <v>48</v>
      </c>
      <c r="E885" t="s">
        <v>35</v>
      </c>
      <c r="F885" s="1">
        <v>42430.175000000003</v>
      </c>
      <c r="G885" t="s">
        <v>215</v>
      </c>
      <c r="H885" t="s">
        <v>71</v>
      </c>
      <c r="I885" t="s">
        <v>1382</v>
      </c>
      <c r="J885">
        <v>4</v>
      </c>
      <c r="K885" t="s">
        <v>49</v>
      </c>
      <c r="L885" t="s">
        <v>31</v>
      </c>
      <c r="M885" t="s">
        <v>23</v>
      </c>
      <c r="N885" t="s">
        <v>93</v>
      </c>
      <c r="O885" t="s">
        <v>58</v>
      </c>
    </row>
    <row r="886" spans="1:15" x14ac:dyDescent="0.35">
      <c r="A886">
        <v>859431</v>
      </c>
      <c r="B886" t="s">
        <v>15</v>
      </c>
      <c r="C886" t="s">
        <v>78</v>
      </c>
      <c r="D886">
        <v>42</v>
      </c>
      <c r="E886" t="s">
        <v>17</v>
      </c>
      <c r="F886" s="1">
        <v>42376.538194444445</v>
      </c>
      <c r="G886" t="s">
        <v>215</v>
      </c>
      <c r="H886" t="s">
        <v>47</v>
      </c>
      <c r="I886" t="s">
        <v>1383</v>
      </c>
      <c r="J886">
        <v>12</v>
      </c>
      <c r="K886" t="s">
        <v>63</v>
      </c>
      <c r="L886" t="s">
        <v>22</v>
      </c>
      <c r="M886" t="s">
        <v>23</v>
      </c>
      <c r="N886" t="s">
        <v>93</v>
      </c>
      <c r="O886" t="s">
        <v>44</v>
      </c>
    </row>
    <row r="887" spans="1:15" x14ac:dyDescent="0.35">
      <c r="A887">
        <v>820492</v>
      </c>
      <c r="B887" t="s">
        <v>15</v>
      </c>
      <c r="C887" t="s">
        <v>78</v>
      </c>
      <c r="D887">
        <v>54</v>
      </c>
      <c r="E887" t="s">
        <v>134</v>
      </c>
      <c r="F887" s="1">
        <v>42380.240972222222</v>
      </c>
      <c r="G887" t="s">
        <v>1384</v>
      </c>
      <c r="H887" t="s">
        <v>19</v>
      </c>
      <c r="I887" t="s">
        <v>1385</v>
      </c>
      <c r="J887">
        <v>5</v>
      </c>
      <c r="K887" t="s">
        <v>21</v>
      </c>
      <c r="L887" t="s">
        <v>22</v>
      </c>
      <c r="M887" t="s">
        <v>23</v>
      </c>
      <c r="N887" t="s">
        <v>43</v>
      </c>
      <c r="O887" t="s">
        <v>33</v>
      </c>
    </row>
    <row r="888" spans="1:15" x14ac:dyDescent="0.35">
      <c r="A888">
        <v>820492</v>
      </c>
      <c r="B888" t="s">
        <v>15</v>
      </c>
      <c r="C888" t="s">
        <v>78</v>
      </c>
      <c r="D888">
        <v>54</v>
      </c>
      <c r="E888" t="s">
        <v>134</v>
      </c>
      <c r="F888" s="1">
        <v>42441.604166666664</v>
      </c>
      <c r="G888" t="s">
        <v>76</v>
      </c>
      <c r="H888" t="s">
        <v>116</v>
      </c>
      <c r="I888" t="s">
        <v>1386</v>
      </c>
      <c r="J888">
        <v>14</v>
      </c>
      <c r="K888" t="s">
        <v>68</v>
      </c>
      <c r="L888" t="s">
        <v>31</v>
      </c>
      <c r="M888" t="s">
        <v>57</v>
      </c>
      <c r="N888" t="s">
        <v>43</v>
      </c>
      <c r="O888" t="s">
        <v>44</v>
      </c>
    </row>
    <row r="889" spans="1:15" x14ac:dyDescent="0.35">
      <c r="A889">
        <v>820492</v>
      </c>
      <c r="B889" t="s">
        <v>15</v>
      </c>
      <c r="C889" t="s">
        <v>78</v>
      </c>
      <c r="D889">
        <v>54</v>
      </c>
      <c r="E889" t="s">
        <v>134</v>
      </c>
      <c r="F889" s="1">
        <v>42438.647222222222</v>
      </c>
      <c r="G889" t="s">
        <v>461</v>
      </c>
      <c r="H889" t="s">
        <v>106</v>
      </c>
      <c r="I889" t="s">
        <v>1387</v>
      </c>
      <c r="J889">
        <v>15</v>
      </c>
      <c r="K889" t="s">
        <v>30</v>
      </c>
      <c r="L889" t="s">
        <v>31</v>
      </c>
      <c r="M889" t="s">
        <v>23</v>
      </c>
      <c r="N889" t="s">
        <v>43</v>
      </c>
      <c r="O889" t="s">
        <v>44</v>
      </c>
    </row>
    <row r="890" spans="1:15" x14ac:dyDescent="0.35">
      <c r="A890">
        <v>71489</v>
      </c>
      <c r="B890" t="s">
        <v>15</v>
      </c>
      <c r="C890" t="s">
        <v>78</v>
      </c>
      <c r="D890">
        <v>25</v>
      </c>
      <c r="E890" t="s">
        <v>64</v>
      </c>
      <c r="F890" s="1">
        <v>42449.652777777781</v>
      </c>
      <c r="G890" t="s">
        <v>76</v>
      </c>
      <c r="H890" t="s">
        <v>71</v>
      </c>
      <c r="I890" t="s">
        <v>1388</v>
      </c>
      <c r="J890">
        <v>15</v>
      </c>
      <c r="K890" t="s">
        <v>56</v>
      </c>
      <c r="L890" t="s">
        <v>31</v>
      </c>
      <c r="M890" t="s">
        <v>57</v>
      </c>
      <c r="N890" t="s">
        <v>69</v>
      </c>
      <c r="O890" t="s">
        <v>44</v>
      </c>
    </row>
    <row r="891" spans="1:15" x14ac:dyDescent="0.35">
      <c r="A891">
        <v>892603</v>
      </c>
      <c r="B891" t="s">
        <v>15</v>
      </c>
      <c r="C891" t="s">
        <v>78</v>
      </c>
      <c r="D891">
        <v>39</v>
      </c>
      <c r="E891" t="s">
        <v>45</v>
      </c>
      <c r="F891" s="1">
        <v>42451.833333333336</v>
      </c>
      <c r="G891" t="s">
        <v>302</v>
      </c>
      <c r="H891" t="s">
        <v>86</v>
      </c>
      <c r="I891" t="s">
        <v>1389</v>
      </c>
      <c r="J891">
        <v>20</v>
      </c>
      <c r="K891" t="s">
        <v>49</v>
      </c>
      <c r="L891" t="s">
        <v>31</v>
      </c>
      <c r="M891" t="s">
        <v>23</v>
      </c>
      <c r="N891" t="s">
        <v>93</v>
      </c>
      <c r="O891" t="s">
        <v>25</v>
      </c>
    </row>
    <row r="892" spans="1:15" x14ac:dyDescent="0.35">
      <c r="A892">
        <v>809071</v>
      </c>
      <c r="B892" t="s">
        <v>15</v>
      </c>
      <c r="C892" t="s">
        <v>78</v>
      </c>
      <c r="D892">
        <v>35</v>
      </c>
      <c r="E892" t="s">
        <v>35</v>
      </c>
      <c r="F892" s="1">
        <v>42434.263194444444</v>
      </c>
      <c r="G892" t="s">
        <v>877</v>
      </c>
      <c r="H892" t="s">
        <v>179</v>
      </c>
      <c r="I892" t="s">
        <v>1390</v>
      </c>
      <c r="J892">
        <v>6</v>
      </c>
      <c r="K892" t="s">
        <v>68</v>
      </c>
      <c r="L892" t="s">
        <v>31</v>
      </c>
      <c r="M892" t="s">
        <v>57</v>
      </c>
      <c r="N892" t="s">
        <v>24</v>
      </c>
      <c r="O892" t="s">
        <v>33</v>
      </c>
    </row>
    <row r="893" spans="1:15" x14ac:dyDescent="0.35">
      <c r="A893">
        <v>809072</v>
      </c>
      <c r="B893" t="s">
        <v>15</v>
      </c>
      <c r="C893" t="s">
        <v>78</v>
      </c>
      <c r="D893">
        <v>32</v>
      </c>
      <c r="E893" t="s">
        <v>64</v>
      </c>
      <c r="F893" s="1">
        <v>42422.34375</v>
      </c>
      <c r="G893" t="s">
        <v>1391</v>
      </c>
      <c r="H893" t="s">
        <v>51</v>
      </c>
      <c r="I893" t="s">
        <v>1392</v>
      </c>
      <c r="J893">
        <v>8</v>
      </c>
      <c r="K893" t="s">
        <v>21</v>
      </c>
      <c r="L893" t="s">
        <v>50</v>
      </c>
      <c r="M893" t="s">
        <v>23</v>
      </c>
      <c r="N893" t="s">
        <v>24</v>
      </c>
      <c r="O893" t="s">
        <v>33</v>
      </c>
    </row>
    <row r="894" spans="1:15" x14ac:dyDescent="0.35">
      <c r="A894">
        <v>809072</v>
      </c>
      <c r="B894" t="s">
        <v>15</v>
      </c>
      <c r="C894" t="s">
        <v>78</v>
      </c>
      <c r="D894">
        <v>32</v>
      </c>
      <c r="E894" t="s">
        <v>64</v>
      </c>
      <c r="F894" s="1">
        <v>42421.657638888886</v>
      </c>
      <c r="G894" t="s">
        <v>371</v>
      </c>
      <c r="H894" t="s">
        <v>51</v>
      </c>
      <c r="I894" t="s">
        <v>1393</v>
      </c>
      <c r="J894">
        <v>15</v>
      </c>
      <c r="K894" t="s">
        <v>56</v>
      </c>
      <c r="L894" t="s">
        <v>50</v>
      </c>
      <c r="M894" t="s">
        <v>57</v>
      </c>
      <c r="N894" t="s">
        <v>24</v>
      </c>
      <c r="O894" t="s">
        <v>44</v>
      </c>
    </row>
    <row r="895" spans="1:15" x14ac:dyDescent="0.35">
      <c r="A895">
        <v>809072</v>
      </c>
      <c r="B895" t="s">
        <v>15</v>
      </c>
      <c r="C895" t="s">
        <v>78</v>
      </c>
      <c r="D895">
        <v>32</v>
      </c>
      <c r="E895" t="s">
        <v>64</v>
      </c>
      <c r="F895" s="1">
        <v>42412.26666666667</v>
      </c>
      <c r="G895" t="s">
        <v>1394</v>
      </c>
      <c r="H895" t="s">
        <v>54</v>
      </c>
      <c r="I895" t="s">
        <v>1395</v>
      </c>
      <c r="J895">
        <v>6</v>
      </c>
      <c r="K895" t="s">
        <v>42</v>
      </c>
      <c r="L895" t="s">
        <v>50</v>
      </c>
      <c r="M895" t="s">
        <v>23</v>
      </c>
      <c r="N895" t="s">
        <v>24</v>
      </c>
      <c r="O895" t="s">
        <v>33</v>
      </c>
    </row>
    <row r="896" spans="1:15" x14ac:dyDescent="0.35">
      <c r="A896">
        <v>809076</v>
      </c>
      <c r="B896" t="s">
        <v>15</v>
      </c>
      <c r="C896" t="s">
        <v>16</v>
      </c>
      <c r="D896">
        <v>27</v>
      </c>
      <c r="E896" t="s">
        <v>17</v>
      </c>
      <c r="F896" s="1">
        <v>42419.95</v>
      </c>
      <c r="G896" t="s">
        <v>1396</v>
      </c>
      <c r="H896" t="s">
        <v>66</v>
      </c>
      <c r="I896" t="s">
        <v>1397</v>
      </c>
      <c r="J896">
        <v>22</v>
      </c>
      <c r="K896" t="s">
        <v>42</v>
      </c>
      <c r="L896" t="s">
        <v>50</v>
      </c>
      <c r="M896" t="s">
        <v>23</v>
      </c>
      <c r="N896" t="s">
        <v>69</v>
      </c>
      <c r="O896" t="s">
        <v>104</v>
      </c>
    </row>
    <row r="897" spans="1:15" x14ac:dyDescent="0.35">
      <c r="A897">
        <v>809076</v>
      </c>
      <c r="B897" t="s">
        <v>15</v>
      </c>
      <c r="C897" t="s">
        <v>16</v>
      </c>
      <c r="D897">
        <v>27</v>
      </c>
      <c r="E897" t="s">
        <v>17</v>
      </c>
      <c r="F897" s="1">
        <v>42419.699305555558</v>
      </c>
      <c r="G897" t="s">
        <v>527</v>
      </c>
      <c r="H897" t="s">
        <v>54</v>
      </c>
      <c r="I897" t="s">
        <v>1398</v>
      </c>
      <c r="J897">
        <v>16</v>
      </c>
      <c r="K897" t="s">
        <v>42</v>
      </c>
      <c r="L897" t="s">
        <v>50</v>
      </c>
      <c r="M897" t="s">
        <v>23</v>
      </c>
      <c r="N897" t="s">
        <v>69</v>
      </c>
      <c r="O897" t="s">
        <v>44</v>
      </c>
    </row>
    <row r="898" spans="1:15" x14ac:dyDescent="0.35">
      <c r="A898">
        <v>809076</v>
      </c>
      <c r="B898" t="s">
        <v>15</v>
      </c>
      <c r="C898" t="s">
        <v>16</v>
      </c>
      <c r="D898">
        <v>27</v>
      </c>
      <c r="E898" t="s">
        <v>17</v>
      </c>
      <c r="F898" s="1">
        <v>42420.302777777775</v>
      </c>
      <c r="G898" t="s">
        <v>90</v>
      </c>
      <c r="H898" t="s">
        <v>28</v>
      </c>
      <c r="I898" t="s">
        <v>1399</v>
      </c>
      <c r="J898">
        <v>7</v>
      </c>
      <c r="K898" t="s">
        <v>68</v>
      </c>
      <c r="L898" t="s">
        <v>50</v>
      </c>
      <c r="M898" t="s">
        <v>57</v>
      </c>
      <c r="N898" t="s">
        <v>69</v>
      </c>
      <c r="O898" t="s">
        <v>33</v>
      </c>
    </row>
    <row r="899" spans="1:15" x14ac:dyDescent="0.35">
      <c r="A899">
        <v>809076</v>
      </c>
      <c r="B899" t="s">
        <v>15</v>
      </c>
      <c r="C899" t="s">
        <v>16</v>
      </c>
      <c r="D899">
        <v>27</v>
      </c>
      <c r="E899" t="s">
        <v>17</v>
      </c>
      <c r="F899" s="1">
        <v>42420.305555555555</v>
      </c>
      <c r="G899" t="s">
        <v>1088</v>
      </c>
      <c r="H899" t="s">
        <v>71</v>
      </c>
      <c r="I899" t="s">
        <v>1400</v>
      </c>
      <c r="J899">
        <v>7</v>
      </c>
      <c r="K899" t="s">
        <v>68</v>
      </c>
      <c r="L899" t="s">
        <v>50</v>
      </c>
      <c r="M899" t="s">
        <v>57</v>
      </c>
      <c r="N899" t="s">
        <v>69</v>
      </c>
      <c r="O899" t="s">
        <v>33</v>
      </c>
    </row>
    <row r="900" spans="1:15" x14ac:dyDescent="0.35">
      <c r="A900">
        <v>809076</v>
      </c>
      <c r="B900" t="s">
        <v>15</v>
      </c>
      <c r="C900" t="s">
        <v>16</v>
      </c>
      <c r="D900">
        <v>27</v>
      </c>
      <c r="E900" t="s">
        <v>17</v>
      </c>
      <c r="F900" s="1">
        <v>42419.246527777781</v>
      </c>
      <c r="G900" t="s">
        <v>1401</v>
      </c>
      <c r="H900" t="s">
        <v>54</v>
      </c>
      <c r="I900" t="s">
        <v>1402</v>
      </c>
      <c r="J900">
        <v>5</v>
      </c>
      <c r="K900" t="s">
        <v>42</v>
      </c>
      <c r="L900" t="s">
        <v>50</v>
      </c>
      <c r="M900" t="s">
        <v>23</v>
      </c>
      <c r="N900" t="s">
        <v>69</v>
      </c>
      <c r="O900" t="s">
        <v>33</v>
      </c>
    </row>
    <row r="901" spans="1:15" x14ac:dyDescent="0.35">
      <c r="A901">
        <v>809076</v>
      </c>
      <c r="B901" t="s">
        <v>15</v>
      </c>
      <c r="C901" t="s">
        <v>16</v>
      </c>
      <c r="D901">
        <v>27</v>
      </c>
      <c r="E901" t="s">
        <v>17</v>
      </c>
      <c r="F901" s="1">
        <v>42419.265277777777</v>
      </c>
      <c r="G901" t="s">
        <v>384</v>
      </c>
      <c r="H901" t="s">
        <v>71</v>
      </c>
      <c r="I901" t="s">
        <v>1403</v>
      </c>
      <c r="J901">
        <v>6</v>
      </c>
      <c r="K901" t="s">
        <v>42</v>
      </c>
      <c r="L901" t="s">
        <v>50</v>
      </c>
      <c r="M901" t="s">
        <v>23</v>
      </c>
      <c r="N901" t="s">
        <v>69</v>
      </c>
      <c r="O901" t="s">
        <v>33</v>
      </c>
    </row>
    <row r="902" spans="1:15" x14ac:dyDescent="0.35">
      <c r="A902">
        <v>809076</v>
      </c>
      <c r="B902" t="s">
        <v>15</v>
      </c>
      <c r="C902" t="s">
        <v>16</v>
      </c>
      <c r="D902">
        <v>27</v>
      </c>
      <c r="E902" t="s">
        <v>17</v>
      </c>
      <c r="F902" s="1">
        <v>42437.520833333336</v>
      </c>
      <c r="G902" t="s">
        <v>1404</v>
      </c>
      <c r="H902" t="s">
        <v>54</v>
      </c>
      <c r="I902" t="s">
        <v>1405</v>
      </c>
      <c r="J902">
        <v>12</v>
      </c>
      <c r="K902" t="s">
        <v>49</v>
      </c>
      <c r="L902" t="s">
        <v>31</v>
      </c>
      <c r="M902" t="s">
        <v>23</v>
      </c>
      <c r="N902" t="s">
        <v>69</v>
      </c>
      <c r="O902" t="s">
        <v>44</v>
      </c>
    </row>
    <row r="903" spans="1:15" x14ac:dyDescent="0.35">
      <c r="A903">
        <v>809076</v>
      </c>
      <c r="B903" t="s">
        <v>15</v>
      </c>
      <c r="C903" t="s">
        <v>16</v>
      </c>
      <c r="D903">
        <v>27</v>
      </c>
      <c r="E903" t="s">
        <v>17</v>
      </c>
      <c r="F903" s="1">
        <v>42447.475694444445</v>
      </c>
      <c r="G903" t="s">
        <v>409</v>
      </c>
      <c r="H903" t="s">
        <v>71</v>
      </c>
      <c r="I903" t="s">
        <v>1406</v>
      </c>
      <c r="J903">
        <v>11</v>
      </c>
      <c r="K903" t="s">
        <v>42</v>
      </c>
      <c r="L903" t="s">
        <v>31</v>
      </c>
      <c r="M903" t="s">
        <v>23</v>
      </c>
      <c r="N903" t="s">
        <v>69</v>
      </c>
      <c r="O903" t="s">
        <v>44</v>
      </c>
    </row>
    <row r="904" spans="1:15" x14ac:dyDescent="0.35">
      <c r="A904">
        <v>809076</v>
      </c>
      <c r="B904" t="s">
        <v>15</v>
      </c>
      <c r="C904" t="s">
        <v>16</v>
      </c>
      <c r="D904">
        <v>27</v>
      </c>
      <c r="E904" t="s">
        <v>17</v>
      </c>
      <c r="F904" s="1">
        <v>42433.881944444445</v>
      </c>
      <c r="G904" t="s">
        <v>1342</v>
      </c>
      <c r="H904" t="s">
        <v>106</v>
      </c>
      <c r="I904" t="s">
        <v>1407</v>
      </c>
      <c r="J904">
        <v>21</v>
      </c>
      <c r="K904" t="s">
        <v>42</v>
      </c>
      <c r="L904" t="s">
        <v>31</v>
      </c>
      <c r="M904" t="s">
        <v>23</v>
      </c>
      <c r="N904" t="s">
        <v>69</v>
      </c>
      <c r="O904" t="s">
        <v>25</v>
      </c>
    </row>
    <row r="905" spans="1:15" x14ac:dyDescent="0.35">
      <c r="A905">
        <v>809076</v>
      </c>
      <c r="B905" t="s">
        <v>15</v>
      </c>
      <c r="C905" t="s">
        <v>16</v>
      </c>
      <c r="D905">
        <v>27</v>
      </c>
      <c r="E905" t="s">
        <v>17</v>
      </c>
      <c r="F905" s="1">
        <v>42433.960416666669</v>
      </c>
      <c r="G905" t="s">
        <v>283</v>
      </c>
      <c r="H905" t="s">
        <v>54</v>
      </c>
      <c r="I905" t="s">
        <v>1296</v>
      </c>
      <c r="J905">
        <v>23</v>
      </c>
      <c r="K905" t="s">
        <v>42</v>
      </c>
      <c r="L905" t="s">
        <v>31</v>
      </c>
      <c r="M905" t="s">
        <v>23</v>
      </c>
      <c r="N905" t="s">
        <v>69</v>
      </c>
      <c r="O905" t="s">
        <v>104</v>
      </c>
    </row>
    <row r="906" spans="1:15" x14ac:dyDescent="0.35">
      <c r="A906">
        <v>809076</v>
      </c>
      <c r="B906" t="s">
        <v>15</v>
      </c>
      <c r="C906" t="s">
        <v>16</v>
      </c>
      <c r="D906">
        <v>27</v>
      </c>
      <c r="E906" t="s">
        <v>17</v>
      </c>
      <c r="F906" s="1">
        <v>42418.245138888888</v>
      </c>
      <c r="G906" t="s">
        <v>1408</v>
      </c>
      <c r="H906" t="s">
        <v>51</v>
      </c>
      <c r="I906" t="s">
        <v>1409</v>
      </c>
      <c r="J906">
        <v>5</v>
      </c>
      <c r="K906" t="s">
        <v>63</v>
      </c>
      <c r="L906" t="s">
        <v>50</v>
      </c>
      <c r="M906" t="s">
        <v>23</v>
      </c>
      <c r="N906" t="s">
        <v>69</v>
      </c>
      <c r="O906" t="s">
        <v>33</v>
      </c>
    </row>
    <row r="907" spans="1:15" x14ac:dyDescent="0.35">
      <c r="A907">
        <v>809076</v>
      </c>
      <c r="B907" t="s">
        <v>15</v>
      </c>
      <c r="C907" t="s">
        <v>16</v>
      </c>
      <c r="D907">
        <v>27</v>
      </c>
      <c r="E907" t="s">
        <v>17</v>
      </c>
      <c r="F907" s="1">
        <v>42418.259722222225</v>
      </c>
      <c r="G907" t="s">
        <v>1410</v>
      </c>
      <c r="H907" t="s">
        <v>54</v>
      </c>
      <c r="I907" t="s">
        <v>1411</v>
      </c>
      <c r="J907">
        <v>6</v>
      </c>
      <c r="K907" t="s">
        <v>63</v>
      </c>
      <c r="L907" t="s">
        <v>50</v>
      </c>
      <c r="M907" t="s">
        <v>23</v>
      </c>
      <c r="N907" t="s">
        <v>69</v>
      </c>
      <c r="O907" t="s">
        <v>33</v>
      </c>
    </row>
    <row r="908" spans="1:15" x14ac:dyDescent="0.35">
      <c r="A908">
        <v>809076</v>
      </c>
      <c r="B908" t="s">
        <v>15</v>
      </c>
      <c r="C908" t="s">
        <v>16</v>
      </c>
      <c r="D908">
        <v>27</v>
      </c>
      <c r="E908" t="s">
        <v>17</v>
      </c>
      <c r="F908" s="1">
        <v>42435.715277777781</v>
      </c>
      <c r="G908" t="s">
        <v>250</v>
      </c>
      <c r="H908" t="s">
        <v>51</v>
      </c>
      <c r="I908" t="s">
        <v>1412</v>
      </c>
      <c r="J908">
        <v>17</v>
      </c>
      <c r="K908" t="s">
        <v>56</v>
      </c>
      <c r="L908" t="s">
        <v>31</v>
      </c>
      <c r="M908" t="s">
        <v>57</v>
      </c>
      <c r="N908" t="s">
        <v>69</v>
      </c>
      <c r="O908" t="s">
        <v>25</v>
      </c>
    </row>
    <row r="909" spans="1:15" x14ac:dyDescent="0.35">
      <c r="A909">
        <v>809076</v>
      </c>
      <c r="B909" t="s">
        <v>15</v>
      </c>
      <c r="C909" t="s">
        <v>16</v>
      </c>
      <c r="D909">
        <v>27</v>
      </c>
      <c r="E909" t="s">
        <v>17</v>
      </c>
      <c r="F909" s="1">
        <v>42427.275694444441</v>
      </c>
      <c r="G909" t="s">
        <v>1187</v>
      </c>
      <c r="H909" t="s">
        <v>106</v>
      </c>
      <c r="I909" t="s">
        <v>1413</v>
      </c>
      <c r="J909">
        <v>6</v>
      </c>
      <c r="K909" t="s">
        <v>68</v>
      </c>
      <c r="L909" t="s">
        <v>50</v>
      </c>
      <c r="M909" t="s">
        <v>57</v>
      </c>
      <c r="N909" t="s">
        <v>69</v>
      </c>
      <c r="O909" t="s">
        <v>33</v>
      </c>
    </row>
    <row r="910" spans="1:15" x14ac:dyDescent="0.35">
      <c r="A910">
        <v>809076</v>
      </c>
      <c r="B910" t="s">
        <v>15</v>
      </c>
      <c r="C910" t="s">
        <v>16</v>
      </c>
      <c r="D910">
        <v>27</v>
      </c>
      <c r="E910" t="s">
        <v>17</v>
      </c>
      <c r="F910" s="1">
        <v>42441.464583333334</v>
      </c>
      <c r="G910" t="s">
        <v>391</v>
      </c>
      <c r="H910" t="s">
        <v>28</v>
      </c>
      <c r="I910" t="s">
        <v>1414</v>
      </c>
      <c r="J910">
        <v>11</v>
      </c>
      <c r="K910" t="s">
        <v>68</v>
      </c>
      <c r="L910" t="s">
        <v>31</v>
      </c>
      <c r="M910" t="s">
        <v>57</v>
      </c>
      <c r="N910" t="s">
        <v>69</v>
      </c>
      <c r="O910" t="s">
        <v>44</v>
      </c>
    </row>
    <row r="911" spans="1:15" x14ac:dyDescent="0.35">
      <c r="A911">
        <v>809076</v>
      </c>
      <c r="B911" t="s">
        <v>15</v>
      </c>
      <c r="C911" t="s">
        <v>16</v>
      </c>
      <c r="D911">
        <v>27</v>
      </c>
      <c r="E911" t="s">
        <v>17</v>
      </c>
      <c r="F911" s="1">
        <v>42441.709027777775</v>
      </c>
      <c r="G911" t="s">
        <v>373</v>
      </c>
      <c r="H911" t="s">
        <v>71</v>
      </c>
      <c r="I911" t="s">
        <v>1415</v>
      </c>
      <c r="J911">
        <v>17</v>
      </c>
      <c r="K911" t="s">
        <v>68</v>
      </c>
      <c r="L911" t="s">
        <v>31</v>
      </c>
      <c r="M911" t="s">
        <v>57</v>
      </c>
      <c r="N911" t="s">
        <v>69</v>
      </c>
      <c r="O911" t="s">
        <v>25</v>
      </c>
    </row>
    <row r="912" spans="1:15" x14ac:dyDescent="0.35">
      <c r="A912">
        <v>809076</v>
      </c>
      <c r="B912" t="s">
        <v>15</v>
      </c>
      <c r="C912" t="s">
        <v>16</v>
      </c>
      <c r="D912">
        <v>27</v>
      </c>
      <c r="E912" t="s">
        <v>17</v>
      </c>
      <c r="F912" s="1">
        <v>42450.522916666669</v>
      </c>
      <c r="G912" t="s">
        <v>558</v>
      </c>
      <c r="H912" t="s">
        <v>54</v>
      </c>
      <c r="I912" t="s">
        <v>1416</v>
      </c>
      <c r="J912">
        <v>12</v>
      </c>
      <c r="K912" t="s">
        <v>21</v>
      </c>
      <c r="L912" t="s">
        <v>31</v>
      </c>
      <c r="M912" t="s">
        <v>23</v>
      </c>
      <c r="N912" t="s">
        <v>69</v>
      </c>
      <c r="O912" t="s">
        <v>44</v>
      </c>
    </row>
    <row r="913" spans="1:15" x14ac:dyDescent="0.35">
      <c r="A913">
        <v>918340</v>
      </c>
      <c r="B913" t="s">
        <v>15</v>
      </c>
      <c r="C913" t="s">
        <v>34</v>
      </c>
      <c r="D913">
        <v>30</v>
      </c>
      <c r="E913" t="s">
        <v>35</v>
      </c>
      <c r="F913" s="1">
        <v>42457.43472222222</v>
      </c>
      <c r="G913" t="s">
        <v>174</v>
      </c>
      <c r="H913" t="s">
        <v>51</v>
      </c>
      <c r="I913" t="s">
        <v>1417</v>
      </c>
      <c r="J913">
        <v>10</v>
      </c>
      <c r="K913" t="s">
        <v>21</v>
      </c>
      <c r="L913" t="s">
        <v>31</v>
      </c>
      <c r="M913" t="s">
        <v>23</v>
      </c>
      <c r="N913" t="s">
        <v>24</v>
      </c>
      <c r="O913" t="s">
        <v>33</v>
      </c>
    </row>
    <row r="914" spans="1:15" x14ac:dyDescent="0.35">
      <c r="A914">
        <v>809079</v>
      </c>
      <c r="B914" t="s">
        <v>15</v>
      </c>
      <c r="C914" t="s">
        <v>78</v>
      </c>
      <c r="D914">
        <v>30</v>
      </c>
      <c r="E914" t="s">
        <v>75</v>
      </c>
      <c r="F914" s="1">
        <v>42422.797222222223</v>
      </c>
      <c r="G914" t="s">
        <v>181</v>
      </c>
      <c r="H914" t="s">
        <v>66</v>
      </c>
      <c r="I914" t="s">
        <v>1418</v>
      </c>
      <c r="J914">
        <v>19</v>
      </c>
      <c r="K914" t="s">
        <v>21</v>
      </c>
      <c r="L914" t="s">
        <v>50</v>
      </c>
      <c r="M914" t="s">
        <v>23</v>
      </c>
      <c r="N914" t="s">
        <v>24</v>
      </c>
      <c r="O914" t="s">
        <v>25</v>
      </c>
    </row>
    <row r="915" spans="1:15" x14ac:dyDescent="0.35">
      <c r="A915">
        <v>809079</v>
      </c>
      <c r="B915" t="s">
        <v>15</v>
      </c>
      <c r="C915" t="s">
        <v>78</v>
      </c>
      <c r="D915">
        <v>30</v>
      </c>
      <c r="E915" t="s">
        <v>75</v>
      </c>
      <c r="F915" s="1">
        <v>42421.560416666667</v>
      </c>
      <c r="G915" t="s">
        <v>253</v>
      </c>
      <c r="H915" t="s">
        <v>106</v>
      </c>
      <c r="I915" t="s">
        <v>1419</v>
      </c>
      <c r="J915">
        <v>13</v>
      </c>
      <c r="K915" t="s">
        <v>56</v>
      </c>
      <c r="L915" t="s">
        <v>50</v>
      </c>
      <c r="M915" t="s">
        <v>57</v>
      </c>
      <c r="N915" t="s">
        <v>24</v>
      </c>
      <c r="O915" t="s">
        <v>44</v>
      </c>
    </row>
    <row r="916" spans="1:15" x14ac:dyDescent="0.35">
      <c r="A916">
        <v>809079</v>
      </c>
      <c r="B916" t="s">
        <v>15</v>
      </c>
      <c r="C916" t="s">
        <v>78</v>
      </c>
      <c r="D916">
        <v>30</v>
      </c>
      <c r="E916" t="s">
        <v>75</v>
      </c>
      <c r="F916" s="1">
        <v>42421.71875</v>
      </c>
      <c r="G916" t="s">
        <v>314</v>
      </c>
      <c r="H916" t="s">
        <v>51</v>
      </c>
      <c r="I916" t="s">
        <v>1420</v>
      </c>
      <c r="J916">
        <v>17</v>
      </c>
      <c r="K916" t="s">
        <v>56</v>
      </c>
      <c r="L916" t="s">
        <v>50</v>
      </c>
      <c r="M916" t="s">
        <v>57</v>
      </c>
      <c r="N916" t="s">
        <v>24</v>
      </c>
      <c r="O916" t="s">
        <v>25</v>
      </c>
    </row>
    <row r="917" spans="1:15" x14ac:dyDescent="0.35">
      <c r="A917">
        <v>809079</v>
      </c>
      <c r="B917" t="s">
        <v>15</v>
      </c>
      <c r="C917" t="s">
        <v>78</v>
      </c>
      <c r="D917">
        <v>30</v>
      </c>
      <c r="E917" t="s">
        <v>75</v>
      </c>
      <c r="F917" s="1">
        <v>42421.723611111112</v>
      </c>
      <c r="G917" t="s">
        <v>36</v>
      </c>
      <c r="H917" t="s">
        <v>86</v>
      </c>
      <c r="I917" t="s">
        <v>1421</v>
      </c>
      <c r="J917">
        <v>17</v>
      </c>
      <c r="K917" t="s">
        <v>56</v>
      </c>
      <c r="L917" t="s">
        <v>50</v>
      </c>
      <c r="M917" t="s">
        <v>57</v>
      </c>
      <c r="N917" t="s">
        <v>24</v>
      </c>
      <c r="O917" t="s">
        <v>25</v>
      </c>
    </row>
    <row r="918" spans="1:15" x14ac:dyDescent="0.35">
      <c r="A918">
        <v>820500</v>
      </c>
      <c r="B918" t="s">
        <v>38</v>
      </c>
      <c r="C918" t="s">
        <v>78</v>
      </c>
      <c r="D918">
        <v>26</v>
      </c>
      <c r="E918" t="s">
        <v>64</v>
      </c>
      <c r="F918" s="1">
        <v>42426.410416666666</v>
      </c>
      <c r="G918" t="s">
        <v>181</v>
      </c>
      <c r="H918" t="s">
        <v>71</v>
      </c>
      <c r="I918" t="s">
        <v>1422</v>
      </c>
      <c r="J918">
        <v>9</v>
      </c>
      <c r="K918" t="s">
        <v>42</v>
      </c>
      <c r="L918" t="s">
        <v>50</v>
      </c>
      <c r="M918" t="s">
        <v>23</v>
      </c>
      <c r="N918" t="s">
        <v>69</v>
      </c>
      <c r="O918" t="s">
        <v>33</v>
      </c>
    </row>
    <row r="919" spans="1:15" x14ac:dyDescent="0.35">
      <c r="A919">
        <v>819358</v>
      </c>
      <c r="B919" t="s">
        <v>15</v>
      </c>
      <c r="C919" t="s">
        <v>39</v>
      </c>
      <c r="D919">
        <v>39</v>
      </c>
      <c r="E919" t="s">
        <v>17</v>
      </c>
      <c r="F919" s="1">
        <v>42426.859722222223</v>
      </c>
      <c r="G919" t="s">
        <v>899</v>
      </c>
      <c r="H919" t="s">
        <v>19</v>
      </c>
      <c r="I919" t="s">
        <v>1423</v>
      </c>
      <c r="J919">
        <v>20</v>
      </c>
      <c r="K919" t="s">
        <v>42</v>
      </c>
      <c r="L919" t="s">
        <v>50</v>
      </c>
      <c r="M919" t="s">
        <v>23</v>
      </c>
      <c r="N919" t="s">
        <v>93</v>
      </c>
      <c r="O919" t="s">
        <v>25</v>
      </c>
    </row>
    <row r="920" spans="1:15" x14ac:dyDescent="0.35">
      <c r="A920">
        <v>819358</v>
      </c>
      <c r="B920" t="s">
        <v>15</v>
      </c>
      <c r="C920" t="s">
        <v>39</v>
      </c>
      <c r="D920">
        <v>39</v>
      </c>
      <c r="E920" t="s">
        <v>17</v>
      </c>
      <c r="F920" s="1">
        <v>42431.499305555553</v>
      </c>
      <c r="G920" t="s">
        <v>781</v>
      </c>
      <c r="H920" t="s">
        <v>28</v>
      </c>
      <c r="I920" t="s">
        <v>1424</v>
      </c>
      <c r="J920">
        <v>11</v>
      </c>
      <c r="K920" t="s">
        <v>30</v>
      </c>
      <c r="L920" t="s">
        <v>31</v>
      </c>
      <c r="M920" t="s">
        <v>23</v>
      </c>
      <c r="N920" t="s">
        <v>93</v>
      </c>
      <c r="O920" t="s">
        <v>44</v>
      </c>
    </row>
    <row r="921" spans="1:15" x14ac:dyDescent="0.35">
      <c r="A921">
        <v>819358</v>
      </c>
      <c r="B921" t="s">
        <v>15</v>
      </c>
      <c r="C921" t="s">
        <v>39</v>
      </c>
      <c r="D921">
        <v>39</v>
      </c>
      <c r="E921" t="s">
        <v>17</v>
      </c>
      <c r="F921" s="1">
        <v>42448.683333333334</v>
      </c>
      <c r="G921" t="s">
        <v>1185</v>
      </c>
      <c r="H921" t="s">
        <v>71</v>
      </c>
      <c r="I921" t="s">
        <v>1425</v>
      </c>
      <c r="J921">
        <v>16</v>
      </c>
      <c r="K921" t="s">
        <v>68</v>
      </c>
      <c r="L921" t="s">
        <v>31</v>
      </c>
      <c r="M921" t="s">
        <v>57</v>
      </c>
      <c r="N921" t="s">
        <v>93</v>
      </c>
      <c r="O921" t="s">
        <v>44</v>
      </c>
    </row>
    <row r="922" spans="1:15" x14ac:dyDescent="0.35">
      <c r="A922">
        <v>242356</v>
      </c>
      <c r="B922" t="s">
        <v>15</v>
      </c>
      <c r="C922" t="s">
        <v>39</v>
      </c>
      <c r="D922">
        <v>30</v>
      </c>
      <c r="E922" t="s">
        <v>35</v>
      </c>
      <c r="F922" s="1">
        <v>42430.377083333333</v>
      </c>
      <c r="G922" t="s">
        <v>76</v>
      </c>
      <c r="H922" t="s">
        <v>28</v>
      </c>
      <c r="I922" t="s">
        <v>1426</v>
      </c>
      <c r="J922">
        <v>9</v>
      </c>
      <c r="K922" t="s">
        <v>49</v>
      </c>
      <c r="L922" t="s">
        <v>31</v>
      </c>
      <c r="M922" t="s">
        <v>23</v>
      </c>
      <c r="N922" t="s">
        <v>24</v>
      </c>
      <c r="O922" t="s">
        <v>33</v>
      </c>
    </row>
    <row r="923" spans="1:15" x14ac:dyDescent="0.35">
      <c r="A923">
        <v>422095</v>
      </c>
      <c r="B923" t="s">
        <v>26</v>
      </c>
      <c r="C923" t="s">
        <v>26</v>
      </c>
      <c r="D923">
        <v>0</v>
      </c>
      <c r="E923" t="s">
        <v>26</v>
      </c>
      <c r="F923" s="1">
        <v>42459.6</v>
      </c>
      <c r="G923" t="s">
        <v>99</v>
      </c>
      <c r="H923" t="s">
        <v>28</v>
      </c>
      <c r="I923" t="s">
        <v>1427</v>
      </c>
      <c r="J923">
        <v>14</v>
      </c>
      <c r="K923" t="s">
        <v>30</v>
      </c>
      <c r="L923" t="s">
        <v>31</v>
      </c>
      <c r="M923" t="s">
        <v>23</v>
      </c>
      <c r="N923" t="s">
        <v>32</v>
      </c>
      <c r="O923" t="s">
        <v>44</v>
      </c>
    </row>
    <row r="924" spans="1:15" x14ac:dyDescent="0.35">
      <c r="A924">
        <v>859438</v>
      </c>
      <c r="B924" t="s">
        <v>15</v>
      </c>
      <c r="C924" t="s">
        <v>16</v>
      </c>
      <c r="D924">
        <v>26</v>
      </c>
      <c r="E924" t="s">
        <v>17</v>
      </c>
      <c r="F924" s="1">
        <v>42440.097916666666</v>
      </c>
      <c r="G924" t="s">
        <v>450</v>
      </c>
      <c r="H924" t="s">
        <v>54</v>
      </c>
      <c r="I924" t="s">
        <v>1428</v>
      </c>
      <c r="J924">
        <v>2</v>
      </c>
      <c r="K924" t="s">
        <v>42</v>
      </c>
      <c r="L924" t="s">
        <v>31</v>
      </c>
      <c r="M924" t="s">
        <v>23</v>
      </c>
      <c r="N924" t="s">
        <v>69</v>
      </c>
      <c r="O924" t="s">
        <v>58</v>
      </c>
    </row>
    <row r="925" spans="1:15" x14ac:dyDescent="0.35">
      <c r="A925">
        <v>830921</v>
      </c>
      <c r="B925" t="s">
        <v>15</v>
      </c>
      <c r="C925" t="s">
        <v>39</v>
      </c>
      <c r="D925">
        <v>22</v>
      </c>
      <c r="E925" t="s">
        <v>45</v>
      </c>
      <c r="F925" s="1">
        <v>42432.808333333334</v>
      </c>
      <c r="G925" t="s">
        <v>455</v>
      </c>
      <c r="H925" t="s">
        <v>19</v>
      </c>
      <c r="I925" t="s">
        <v>1429</v>
      </c>
      <c r="J925">
        <v>19</v>
      </c>
      <c r="K925" t="s">
        <v>63</v>
      </c>
      <c r="L925" t="s">
        <v>31</v>
      </c>
      <c r="M925" t="s">
        <v>23</v>
      </c>
      <c r="N925" t="s">
        <v>69</v>
      </c>
      <c r="O925" t="s">
        <v>25</v>
      </c>
    </row>
    <row r="926" spans="1:15" x14ac:dyDescent="0.35">
      <c r="A926">
        <v>866295</v>
      </c>
      <c r="B926" t="s">
        <v>15</v>
      </c>
      <c r="C926" t="s">
        <v>26</v>
      </c>
      <c r="D926">
        <v>43</v>
      </c>
      <c r="E926" t="s">
        <v>35</v>
      </c>
      <c r="F926" s="1">
        <v>42444.459027777775</v>
      </c>
      <c r="G926" t="s">
        <v>1430</v>
      </c>
      <c r="H926" t="s">
        <v>28</v>
      </c>
      <c r="I926" t="s">
        <v>1431</v>
      </c>
      <c r="J926">
        <v>11</v>
      </c>
      <c r="K926" t="s">
        <v>49</v>
      </c>
      <c r="L926" t="s">
        <v>31</v>
      </c>
      <c r="M926" t="s">
        <v>23</v>
      </c>
      <c r="N926" t="s">
        <v>93</v>
      </c>
      <c r="O926" t="s">
        <v>44</v>
      </c>
    </row>
    <row r="927" spans="1:15" x14ac:dyDescent="0.35">
      <c r="A927">
        <v>830923</v>
      </c>
      <c r="B927" t="s">
        <v>15</v>
      </c>
      <c r="C927" t="s">
        <v>16</v>
      </c>
      <c r="D927">
        <v>31</v>
      </c>
      <c r="E927" t="s">
        <v>17</v>
      </c>
      <c r="F927" s="1">
        <v>42432.386111111111</v>
      </c>
      <c r="G927" t="s">
        <v>1432</v>
      </c>
      <c r="H927" t="s">
        <v>19</v>
      </c>
      <c r="I927" t="s">
        <v>1433</v>
      </c>
      <c r="J927">
        <v>9</v>
      </c>
      <c r="K927" t="s">
        <v>63</v>
      </c>
      <c r="L927" t="s">
        <v>31</v>
      </c>
      <c r="M927" t="s">
        <v>23</v>
      </c>
      <c r="N927" t="s">
        <v>24</v>
      </c>
      <c r="O927" t="s">
        <v>33</v>
      </c>
    </row>
    <row r="928" spans="1:15" x14ac:dyDescent="0.35">
      <c r="A928">
        <v>830923</v>
      </c>
      <c r="B928" t="s">
        <v>15</v>
      </c>
      <c r="C928" t="s">
        <v>16</v>
      </c>
      <c r="D928">
        <v>31</v>
      </c>
      <c r="E928" t="s">
        <v>17</v>
      </c>
      <c r="F928" s="1">
        <v>42432.631249999999</v>
      </c>
      <c r="G928" t="s">
        <v>139</v>
      </c>
      <c r="H928" t="s">
        <v>91</v>
      </c>
      <c r="I928" t="s">
        <v>1434</v>
      </c>
      <c r="J928">
        <v>15</v>
      </c>
      <c r="K928" t="s">
        <v>63</v>
      </c>
      <c r="L928" t="s">
        <v>31</v>
      </c>
      <c r="M928" t="s">
        <v>23</v>
      </c>
      <c r="N928" t="s">
        <v>24</v>
      </c>
      <c r="O928" t="s">
        <v>44</v>
      </c>
    </row>
    <row r="929" spans="1:15" x14ac:dyDescent="0.35">
      <c r="A929">
        <v>830923</v>
      </c>
      <c r="B929" t="s">
        <v>15</v>
      </c>
      <c r="C929" t="s">
        <v>16</v>
      </c>
      <c r="D929">
        <v>31</v>
      </c>
      <c r="E929" t="s">
        <v>17</v>
      </c>
      <c r="F929" s="1">
        <v>42433.520833333336</v>
      </c>
      <c r="G929" t="s">
        <v>132</v>
      </c>
      <c r="H929" t="s">
        <v>19</v>
      </c>
      <c r="I929" t="s">
        <v>1435</v>
      </c>
      <c r="J929">
        <v>12</v>
      </c>
      <c r="K929" t="s">
        <v>42</v>
      </c>
      <c r="L929" t="s">
        <v>31</v>
      </c>
      <c r="M929" t="s">
        <v>23</v>
      </c>
      <c r="N929" t="s">
        <v>24</v>
      </c>
      <c r="O929" t="s">
        <v>44</v>
      </c>
    </row>
    <row r="930" spans="1:15" x14ac:dyDescent="0.35">
      <c r="A930">
        <v>173765</v>
      </c>
      <c r="B930" t="s">
        <v>26</v>
      </c>
      <c r="C930" t="s">
        <v>26</v>
      </c>
      <c r="D930">
        <v>0</v>
      </c>
      <c r="E930" t="s">
        <v>26</v>
      </c>
      <c r="F930" s="1">
        <v>42377.311805555553</v>
      </c>
      <c r="G930" t="s">
        <v>248</v>
      </c>
      <c r="H930" t="s">
        <v>19</v>
      </c>
      <c r="I930" t="s">
        <v>1436</v>
      </c>
      <c r="J930">
        <v>7</v>
      </c>
      <c r="K930" t="s">
        <v>42</v>
      </c>
      <c r="L930" t="s">
        <v>22</v>
      </c>
      <c r="M930" t="s">
        <v>23</v>
      </c>
      <c r="N930" t="s">
        <v>32</v>
      </c>
      <c r="O930" t="s">
        <v>33</v>
      </c>
    </row>
    <row r="931" spans="1:15" x14ac:dyDescent="0.35">
      <c r="A931">
        <v>1324574</v>
      </c>
      <c r="B931" t="s">
        <v>15</v>
      </c>
      <c r="C931" t="s">
        <v>78</v>
      </c>
      <c r="D931">
        <v>39</v>
      </c>
      <c r="E931" t="s">
        <v>35</v>
      </c>
      <c r="F931" s="1">
        <v>42434.068749999999</v>
      </c>
      <c r="G931" t="s">
        <v>76</v>
      </c>
      <c r="H931" t="s">
        <v>19</v>
      </c>
      <c r="I931" t="s">
        <v>1437</v>
      </c>
      <c r="J931">
        <v>1</v>
      </c>
      <c r="K931" t="s">
        <v>68</v>
      </c>
      <c r="L931" t="s">
        <v>31</v>
      </c>
      <c r="M931" t="s">
        <v>57</v>
      </c>
      <c r="N931" t="s">
        <v>93</v>
      </c>
      <c r="O931" t="s">
        <v>58</v>
      </c>
    </row>
    <row r="932" spans="1:15" x14ac:dyDescent="0.35">
      <c r="A932">
        <v>939753</v>
      </c>
      <c r="B932" t="s">
        <v>15</v>
      </c>
      <c r="C932" t="s">
        <v>16</v>
      </c>
      <c r="D932">
        <v>43</v>
      </c>
      <c r="E932" t="s">
        <v>17</v>
      </c>
      <c r="F932" s="1">
        <v>42448.484722222223</v>
      </c>
      <c r="G932" t="s">
        <v>181</v>
      </c>
      <c r="H932" t="s">
        <v>47</v>
      </c>
      <c r="I932" t="s">
        <v>1438</v>
      </c>
      <c r="J932">
        <v>11</v>
      </c>
      <c r="K932" t="s">
        <v>68</v>
      </c>
      <c r="L932" t="s">
        <v>31</v>
      </c>
      <c r="M932" t="s">
        <v>57</v>
      </c>
      <c r="N932" t="s">
        <v>93</v>
      </c>
      <c r="O932" t="s">
        <v>44</v>
      </c>
    </row>
    <row r="933" spans="1:15" x14ac:dyDescent="0.35">
      <c r="A933">
        <v>86703</v>
      </c>
      <c r="B933" t="s">
        <v>15</v>
      </c>
      <c r="C933" t="s">
        <v>34</v>
      </c>
      <c r="D933">
        <v>24</v>
      </c>
      <c r="E933" t="s">
        <v>35</v>
      </c>
      <c r="F933" s="1">
        <v>42448.922222222223</v>
      </c>
      <c r="G933" t="s">
        <v>76</v>
      </c>
      <c r="H933" t="s">
        <v>71</v>
      </c>
      <c r="I933" t="s">
        <v>1439</v>
      </c>
      <c r="J933">
        <v>22</v>
      </c>
      <c r="K933" t="s">
        <v>68</v>
      </c>
      <c r="L933" t="s">
        <v>31</v>
      </c>
      <c r="M933" t="s">
        <v>57</v>
      </c>
      <c r="N933" t="s">
        <v>69</v>
      </c>
      <c r="O933" t="s">
        <v>104</v>
      </c>
    </row>
    <row r="934" spans="1:15" x14ac:dyDescent="0.35">
      <c r="A934">
        <v>809081</v>
      </c>
      <c r="B934" t="s">
        <v>15</v>
      </c>
      <c r="C934" t="s">
        <v>78</v>
      </c>
      <c r="D934">
        <v>23</v>
      </c>
      <c r="E934" t="s">
        <v>35</v>
      </c>
      <c r="F934" s="1">
        <v>42420.60833333333</v>
      </c>
      <c r="G934" t="s">
        <v>220</v>
      </c>
      <c r="H934" t="s">
        <v>71</v>
      </c>
      <c r="I934" t="s">
        <v>1440</v>
      </c>
      <c r="J934">
        <v>14</v>
      </c>
      <c r="K934" t="s">
        <v>68</v>
      </c>
      <c r="L934" t="s">
        <v>50</v>
      </c>
      <c r="M934" t="s">
        <v>57</v>
      </c>
      <c r="N934" t="s">
        <v>69</v>
      </c>
      <c r="O934" t="s">
        <v>44</v>
      </c>
    </row>
    <row r="935" spans="1:15" x14ac:dyDescent="0.35">
      <c r="A935">
        <v>809081</v>
      </c>
      <c r="B935" t="s">
        <v>15</v>
      </c>
      <c r="C935" t="s">
        <v>78</v>
      </c>
      <c r="D935">
        <v>23</v>
      </c>
      <c r="E935" t="s">
        <v>35</v>
      </c>
      <c r="F935" s="1">
        <v>42418.824999999997</v>
      </c>
      <c r="G935" t="s">
        <v>1441</v>
      </c>
      <c r="H935" t="s">
        <v>106</v>
      </c>
      <c r="I935" t="s">
        <v>1442</v>
      </c>
      <c r="J935">
        <v>19</v>
      </c>
      <c r="K935" t="s">
        <v>63</v>
      </c>
      <c r="L935" t="s">
        <v>50</v>
      </c>
      <c r="M935" t="s">
        <v>23</v>
      </c>
      <c r="N935" t="s">
        <v>69</v>
      </c>
      <c r="O935" t="s">
        <v>25</v>
      </c>
    </row>
    <row r="936" spans="1:15" x14ac:dyDescent="0.35">
      <c r="A936">
        <v>809081</v>
      </c>
      <c r="B936" t="s">
        <v>15</v>
      </c>
      <c r="C936" t="s">
        <v>78</v>
      </c>
      <c r="D936">
        <v>23</v>
      </c>
      <c r="E936" t="s">
        <v>35</v>
      </c>
      <c r="F936" s="1">
        <v>42421.845138888886</v>
      </c>
      <c r="G936" t="s">
        <v>692</v>
      </c>
      <c r="H936" t="s">
        <v>106</v>
      </c>
      <c r="I936" t="s">
        <v>1443</v>
      </c>
      <c r="J936">
        <v>20</v>
      </c>
      <c r="K936" t="s">
        <v>56</v>
      </c>
      <c r="L936" t="s">
        <v>50</v>
      </c>
      <c r="M936" t="s">
        <v>57</v>
      </c>
      <c r="N936" t="s">
        <v>69</v>
      </c>
      <c r="O936" t="s">
        <v>25</v>
      </c>
    </row>
    <row r="937" spans="1:15" x14ac:dyDescent="0.35">
      <c r="A937">
        <v>809081</v>
      </c>
      <c r="B937" t="s">
        <v>15</v>
      </c>
      <c r="C937" t="s">
        <v>78</v>
      </c>
      <c r="D937">
        <v>23</v>
      </c>
      <c r="E937" t="s">
        <v>35</v>
      </c>
      <c r="F937" s="1">
        <v>42438.724999999999</v>
      </c>
      <c r="G937" t="s">
        <v>196</v>
      </c>
      <c r="H937" t="s">
        <v>106</v>
      </c>
      <c r="I937" t="s">
        <v>1444</v>
      </c>
      <c r="J937">
        <v>17</v>
      </c>
      <c r="K937" t="s">
        <v>30</v>
      </c>
      <c r="L937" t="s">
        <v>31</v>
      </c>
      <c r="M937" t="s">
        <v>23</v>
      </c>
      <c r="N937" t="s">
        <v>69</v>
      </c>
      <c r="O937" t="s">
        <v>25</v>
      </c>
    </row>
    <row r="938" spans="1:15" x14ac:dyDescent="0.35">
      <c r="A938">
        <v>866302</v>
      </c>
      <c r="B938" t="s">
        <v>15</v>
      </c>
      <c r="C938" t="s">
        <v>16</v>
      </c>
      <c r="D938">
        <v>45</v>
      </c>
      <c r="E938" t="s">
        <v>17</v>
      </c>
      <c r="F938" s="1">
        <v>42442.798611111109</v>
      </c>
      <c r="G938" t="s">
        <v>745</v>
      </c>
      <c r="H938" t="s">
        <v>86</v>
      </c>
      <c r="I938" t="s">
        <v>1445</v>
      </c>
      <c r="J938">
        <v>19</v>
      </c>
      <c r="K938" t="s">
        <v>56</v>
      </c>
      <c r="L938" t="s">
        <v>31</v>
      </c>
      <c r="M938" t="s">
        <v>57</v>
      </c>
      <c r="N938" t="s">
        <v>93</v>
      </c>
      <c r="O938" t="s">
        <v>25</v>
      </c>
    </row>
    <row r="939" spans="1:15" x14ac:dyDescent="0.35">
      <c r="A939">
        <v>866302</v>
      </c>
      <c r="B939" t="s">
        <v>15</v>
      </c>
      <c r="C939" t="s">
        <v>16</v>
      </c>
      <c r="D939">
        <v>45</v>
      </c>
      <c r="E939" t="s">
        <v>17</v>
      </c>
      <c r="F939" s="1">
        <v>42448.505555555559</v>
      </c>
      <c r="G939" t="s">
        <v>1446</v>
      </c>
      <c r="H939" t="s">
        <v>19</v>
      </c>
      <c r="I939" t="s">
        <v>1447</v>
      </c>
      <c r="J939">
        <v>12</v>
      </c>
      <c r="K939" t="s">
        <v>68</v>
      </c>
      <c r="L939" t="s">
        <v>31</v>
      </c>
      <c r="M939" t="s">
        <v>57</v>
      </c>
      <c r="N939" t="s">
        <v>93</v>
      </c>
      <c r="O939" t="s">
        <v>44</v>
      </c>
    </row>
    <row r="940" spans="1:15" x14ac:dyDescent="0.35">
      <c r="A940">
        <v>866302</v>
      </c>
      <c r="B940" t="s">
        <v>15</v>
      </c>
      <c r="C940" t="s">
        <v>16</v>
      </c>
      <c r="D940">
        <v>45</v>
      </c>
      <c r="E940" t="s">
        <v>17</v>
      </c>
      <c r="F940" s="1">
        <v>42459.415277777778</v>
      </c>
      <c r="G940" t="s">
        <v>90</v>
      </c>
      <c r="H940" t="s">
        <v>86</v>
      </c>
      <c r="I940" t="s">
        <v>1448</v>
      </c>
      <c r="J940">
        <v>9</v>
      </c>
      <c r="K940" t="s">
        <v>30</v>
      </c>
      <c r="L940" t="s">
        <v>31</v>
      </c>
      <c r="M940" t="s">
        <v>23</v>
      </c>
      <c r="N940" t="s">
        <v>93</v>
      </c>
      <c r="O940" t="s">
        <v>33</v>
      </c>
    </row>
    <row r="941" spans="1:15" x14ac:dyDescent="0.35">
      <c r="A941">
        <v>788787</v>
      </c>
      <c r="B941" t="s">
        <v>15</v>
      </c>
      <c r="C941" t="s">
        <v>39</v>
      </c>
      <c r="D941">
        <v>19</v>
      </c>
      <c r="E941" t="s">
        <v>860</v>
      </c>
      <c r="F941" s="1">
        <v>42433.506249999999</v>
      </c>
      <c r="G941" t="s">
        <v>176</v>
      </c>
      <c r="H941" t="s">
        <v>66</v>
      </c>
      <c r="I941" t="s">
        <v>1449</v>
      </c>
      <c r="J941">
        <v>12</v>
      </c>
      <c r="K941" t="s">
        <v>42</v>
      </c>
      <c r="L941" t="s">
        <v>31</v>
      </c>
      <c r="M941" t="s">
        <v>23</v>
      </c>
      <c r="N941" t="s">
        <v>69</v>
      </c>
      <c r="O941" t="s">
        <v>44</v>
      </c>
    </row>
    <row r="942" spans="1:15" x14ac:dyDescent="0.35">
      <c r="A942">
        <v>788787</v>
      </c>
      <c r="B942" t="s">
        <v>15</v>
      </c>
      <c r="C942" t="s">
        <v>39</v>
      </c>
      <c r="D942">
        <v>19</v>
      </c>
      <c r="E942" t="s">
        <v>860</v>
      </c>
      <c r="F942" s="1">
        <v>42436.865277777775</v>
      </c>
      <c r="G942" t="s">
        <v>215</v>
      </c>
      <c r="H942" t="s">
        <v>116</v>
      </c>
      <c r="I942" t="s">
        <v>1450</v>
      </c>
      <c r="J942">
        <v>20</v>
      </c>
      <c r="K942" t="s">
        <v>21</v>
      </c>
      <c r="L942" t="s">
        <v>31</v>
      </c>
      <c r="M942" t="s">
        <v>23</v>
      </c>
      <c r="N942" t="s">
        <v>69</v>
      </c>
      <c r="O942" t="s">
        <v>25</v>
      </c>
    </row>
    <row r="943" spans="1:15" x14ac:dyDescent="0.35">
      <c r="A943">
        <v>788788</v>
      </c>
      <c r="B943" t="s">
        <v>15</v>
      </c>
      <c r="C943" t="s">
        <v>78</v>
      </c>
      <c r="D943">
        <v>40</v>
      </c>
      <c r="E943" t="s">
        <v>64</v>
      </c>
      <c r="F943" s="1">
        <v>42403.736805555556</v>
      </c>
      <c r="G943" t="s">
        <v>1451</v>
      </c>
      <c r="H943" t="s">
        <v>106</v>
      </c>
      <c r="I943" t="s">
        <v>1452</v>
      </c>
      <c r="J943">
        <v>17</v>
      </c>
      <c r="K943" t="s">
        <v>30</v>
      </c>
      <c r="L943" t="s">
        <v>50</v>
      </c>
      <c r="M943" t="s">
        <v>23</v>
      </c>
      <c r="N943" t="s">
        <v>93</v>
      </c>
      <c r="O943" t="s">
        <v>25</v>
      </c>
    </row>
    <row r="944" spans="1:15" x14ac:dyDescent="0.35">
      <c r="A944">
        <v>809083</v>
      </c>
      <c r="B944" t="s">
        <v>15</v>
      </c>
      <c r="C944" t="s">
        <v>78</v>
      </c>
      <c r="D944">
        <v>40</v>
      </c>
      <c r="E944" t="s">
        <v>35</v>
      </c>
      <c r="F944" s="1">
        <v>42425.531944444447</v>
      </c>
      <c r="G944" t="s">
        <v>1453</v>
      </c>
      <c r="H944" t="s">
        <v>86</v>
      </c>
      <c r="I944" t="s">
        <v>1454</v>
      </c>
      <c r="J944">
        <v>12</v>
      </c>
      <c r="K944" t="s">
        <v>63</v>
      </c>
      <c r="L944" t="s">
        <v>50</v>
      </c>
      <c r="M944" t="s">
        <v>23</v>
      </c>
      <c r="N944" t="s">
        <v>93</v>
      </c>
      <c r="O944" t="s">
        <v>44</v>
      </c>
    </row>
    <row r="945" spans="1:15" x14ac:dyDescent="0.35">
      <c r="A945">
        <v>809083</v>
      </c>
      <c r="B945" t="s">
        <v>15</v>
      </c>
      <c r="C945" t="s">
        <v>78</v>
      </c>
      <c r="D945">
        <v>40</v>
      </c>
      <c r="E945" t="s">
        <v>35</v>
      </c>
      <c r="F945" s="1">
        <v>42422.978472222225</v>
      </c>
      <c r="G945" t="s">
        <v>227</v>
      </c>
      <c r="H945" t="s">
        <v>47</v>
      </c>
      <c r="I945" t="s">
        <v>1455</v>
      </c>
      <c r="J945">
        <v>23</v>
      </c>
      <c r="K945" t="s">
        <v>21</v>
      </c>
      <c r="L945" t="s">
        <v>50</v>
      </c>
      <c r="M945" t="s">
        <v>23</v>
      </c>
      <c r="N945" t="s">
        <v>93</v>
      </c>
      <c r="O945" t="s">
        <v>104</v>
      </c>
    </row>
    <row r="946" spans="1:15" x14ac:dyDescent="0.35">
      <c r="A946">
        <v>820513</v>
      </c>
      <c r="B946" t="s">
        <v>15</v>
      </c>
      <c r="C946" t="s">
        <v>78</v>
      </c>
      <c r="D946">
        <v>13</v>
      </c>
      <c r="E946" t="s">
        <v>17</v>
      </c>
      <c r="F946" s="1">
        <v>42431.584027777775</v>
      </c>
      <c r="G946" t="s">
        <v>1456</v>
      </c>
      <c r="H946" t="s">
        <v>106</v>
      </c>
      <c r="I946" t="s">
        <v>1457</v>
      </c>
      <c r="J946">
        <v>14</v>
      </c>
      <c r="K946" t="s">
        <v>30</v>
      </c>
      <c r="L946" t="s">
        <v>31</v>
      </c>
      <c r="M946" t="s">
        <v>23</v>
      </c>
      <c r="N946" t="s">
        <v>32</v>
      </c>
      <c r="O946" t="s">
        <v>44</v>
      </c>
    </row>
    <row r="947" spans="1:15" x14ac:dyDescent="0.35">
      <c r="A947">
        <v>820513</v>
      </c>
      <c r="B947" t="s">
        <v>15</v>
      </c>
      <c r="C947" t="s">
        <v>78</v>
      </c>
      <c r="D947">
        <v>13</v>
      </c>
      <c r="E947" t="s">
        <v>17</v>
      </c>
      <c r="F947" s="1">
        <v>42432.80972222222</v>
      </c>
      <c r="G947" t="s">
        <v>1458</v>
      </c>
      <c r="H947" t="s">
        <v>19</v>
      </c>
      <c r="I947" t="s">
        <v>1459</v>
      </c>
      <c r="J947">
        <v>19</v>
      </c>
      <c r="K947" t="s">
        <v>63</v>
      </c>
      <c r="L947" t="s">
        <v>31</v>
      </c>
      <c r="M947" t="s">
        <v>23</v>
      </c>
      <c r="N947" t="s">
        <v>32</v>
      </c>
      <c r="O947" t="s">
        <v>25</v>
      </c>
    </row>
    <row r="948" spans="1:15" x14ac:dyDescent="0.35">
      <c r="A948">
        <v>820513</v>
      </c>
      <c r="B948" t="s">
        <v>15</v>
      </c>
      <c r="C948" t="s">
        <v>78</v>
      </c>
      <c r="D948">
        <v>13</v>
      </c>
      <c r="E948" t="s">
        <v>17</v>
      </c>
      <c r="F948" s="1">
        <v>42427.795138888891</v>
      </c>
      <c r="G948" t="s">
        <v>493</v>
      </c>
      <c r="H948" t="s">
        <v>97</v>
      </c>
      <c r="I948" t="s">
        <v>1460</v>
      </c>
      <c r="J948">
        <v>19</v>
      </c>
      <c r="K948" t="s">
        <v>68</v>
      </c>
      <c r="L948" t="s">
        <v>50</v>
      </c>
      <c r="M948" t="s">
        <v>57</v>
      </c>
      <c r="N948" t="s">
        <v>32</v>
      </c>
      <c r="O948" t="s">
        <v>25</v>
      </c>
    </row>
    <row r="949" spans="1:15" x14ac:dyDescent="0.35">
      <c r="A949">
        <v>820513</v>
      </c>
      <c r="B949" t="s">
        <v>15</v>
      </c>
      <c r="C949" t="s">
        <v>78</v>
      </c>
      <c r="D949">
        <v>13</v>
      </c>
      <c r="E949" t="s">
        <v>17</v>
      </c>
      <c r="F949" s="1">
        <v>42445.849305555559</v>
      </c>
      <c r="G949" t="s">
        <v>371</v>
      </c>
      <c r="H949" t="s">
        <v>54</v>
      </c>
      <c r="I949" t="s">
        <v>1461</v>
      </c>
      <c r="J949">
        <v>20</v>
      </c>
      <c r="K949" t="s">
        <v>30</v>
      </c>
      <c r="L949" t="s">
        <v>31</v>
      </c>
      <c r="M949" t="s">
        <v>23</v>
      </c>
      <c r="N949" t="s">
        <v>32</v>
      </c>
      <c r="O949" t="s">
        <v>25</v>
      </c>
    </row>
    <row r="950" spans="1:15" x14ac:dyDescent="0.35">
      <c r="A950">
        <v>820513</v>
      </c>
      <c r="B950" t="s">
        <v>15</v>
      </c>
      <c r="C950" t="s">
        <v>78</v>
      </c>
      <c r="D950">
        <v>13</v>
      </c>
      <c r="E950" t="s">
        <v>17</v>
      </c>
      <c r="F950" s="1">
        <v>42445.850694444445</v>
      </c>
      <c r="G950" t="s">
        <v>139</v>
      </c>
      <c r="H950" t="s">
        <v>54</v>
      </c>
      <c r="I950" t="s">
        <v>1462</v>
      </c>
      <c r="J950">
        <v>20</v>
      </c>
      <c r="K950" t="s">
        <v>30</v>
      </c>
      <c r="L950" t="s">
        <v>31</v>
      </c>
      <c r="M950" t="s">
        <v>23</v>
      </c>
      <c r="N950" t="s">
        <v>32</v>
      </c>
      <c r="O950" t="s">
        <v>25</v>
      </c>
    </row>
    <row r="951" spans="1:15" x14ac:dyDescent="0.35">
      <c r="A951">
        <v>820513</v>
      </c>
      <c r="B951" t="s">
        <v>15</v>
      </c>
      <c r="C951" t="s">
        <v>78</v>
      </c>
      <c r="D951">
        <v>13</v>
      </c>
      <c r="E951" t="s">
        <v>17</v>
      </c>
      <c r="F951" s="1">
        <v>42444.740972222222</v>
      </c>
      <c r="G951" t="s">
        <v>1463</v>
      </c>
      <c r="H951" t="s">
        <v>19</v>
      </c>
      <c r="I951" t="s">
        <v>1464</v>
      </c>
      <c r="J951">
        <v>17</v>
      </c>
      <c r="K951" t="s">
        <v>49</v>
      </c>
      <c r="L951" t="s">
        <v>31</v>
      </c>
      <c r="M951" t="s">
        <v>23</v>
      </c>
      <c r="N951" t="s">
        <v>32</v>
      </c>
      <c r="O951" t="s">
        <v>25</v>
      </c>
    </row>
    <row r="952" spans="1:15" x14ac:dyDescent="0.35">
      <c r="A952">
        <v>820513</v>
      </c>
      <c r="B952" t="s">
        <v>15</v>
      </c>
      <c r="C952" t="s">
        <v>78</v>
      </c>
      <c r="D952">
        <v>13</v>
      </c>
      <c r="E952" t="s">
        <v>17</v>
      </c>
      <c r="F952" s="1">
        <v>42438.593055555553</v>
      </c>
      <c r="G952" t="s">
        <v>1465</v>
      </c>
      <c r="H952" t="s">
        <v>54</v>
      </c>
      <c r="I952" t="s">
        <v>1466</v>
      </c>
      <c r="J952">
        <v>14</v>
      </c>
      <c r="K952" t="s">
        <v>30</v>
      </c>
      <c r="L952" t="s">
        <v>31</v>
      </c>
      <c r="M952" t="s">
        <v>23</v>
      </c>
      <c r="N952" t="s">
        <v>32</v>
      </c>
      <c r="O952" t="s">
        <v>44</v>
      </c>
    </row>
    <row r="953" spans="1:15" x14ac:dyDescent="0.35">
      <c r="A953">
        <v>820513</v>
      </c>
      <c r="B953" t="s">
        <v>15</v>
      </c>
      <c r="C953" t="s">
        <v>78</v>
      </c>
      <c r="D953">
        <v>13</v>
      </c>
      <c r="E953" t="s">
        <v>17</v>
      </c>
      <c r="F953" s="1">
        <v>42432.225694444445</v>
      </c>
      <c r="G953" t="s">
        <v>1467</v>
      </c>
      <c r="H953" t="s">
        <v>19</v>
      </c>
      <c r="I953" t="s">
        <v>1468</v>
      </c>
      <c r="J953">
        <v>5</v>
      </c>
      <c r="K953" t="s">
        <v>63</v>
      </c>
      <c r="L953" t="s">
        <v>31</v>
      </c>
      <c r="M953" t="s">
        <v>23</v>
      </c>
      <c r="N953" t="s">
        <v>32</v>
      </c>
      <c r="O953" t="s">
        <v>33</v>
      </c>
    </row>
    <row r="954" spans="1:15" x14ac:dyDescent="0.35">
      <c r="A954">
        <v>820513</v>
      </c>
      <c r="B954" t="s">
        <v>15</v>
      </c>
      <c r="C954" t="s">
        <v>78</v>
      </c>
      <c r="D954">
        <v>13</v>
      </c>
      <c r="E954" t="s">
        <v>17</v>
      </c>
      <c r="F954" s="1">
        <v>42432.226388888892</v>
      </c>
      <c r="G954" t="s">
        <v>1469</v>
      </c>
      <c r="H954" t="s">
        <v>86</v>
      </c>
      <c r="I954" t="s">
        <v>1470</v>
      </c>
      <c r="J954">
        <v>5</v>
      </c>
      <c r="K954" t="s">
        <v>63</v>
      </c>
      <c r="L954" t="s">
        <v>31</v>
      </c>
      <c r="M954" t="s">
        <v>23</v>
      </c>
      <c r="N954" t="s">
        <v>32</v>
      </c>
      <c r="O954" t="s">
        <v>33</v>
      </c>
    </row>
    <row r="955" spans="1:15" x14ac:dyDescent="0.35">
      <c r="A955">
        <v>820513</v>
      </c>
      <c r="B955" t="s">
        <v>15</v>
      </c>
      <c r="C955" t="s">
        <v>78</v>
      </c>
      <c r="D955">
        <v>13</v>
      </c>
      <c r="E955" t="s">
        <v>17</v>
      </c>
      <c r="F955" s="1">
        <v>42450.859722222223</v>
      </c>
      <c r="G955" t="s">
        <v>136</v>
      </c>
      <c r="H955" t="s">
        <v>54</v>
      </c>
      <c r="I955" t="s">
        <v>1471</v>
      </c>
      <c r="J955">
        <v>20</v>
      </c>
      <c r="K955" t="s">
        <v>21</v>
      </c>
      <c r="L955" t="s">
        <v>31</v>
      </c>
      <c r="M955" t="s">
        <v>23</v>
      </c>
      <c r="N955" t="s">
        <v>32</v>
      </c>
      <c r="O955" t="s">
        <v>25</v>
      </c>
    </row>
    <row r="956" spans="1:15" x14ac:dyDescent="0.35">
      <c r="A956">
        <v>771941</v>
      </c>
      <c r="B956" t="s">
        <v>15</v>
      </c>
      <c r="C956" t="s">
        <v>16</v>
      </c>
      <c r="D956">
        <v>24</v>
      </c>
      <c r="E956" t="s">
        <v>17</v>
      </c>
      <c r="F956" s="1">
        <v>42379.671527777777</v>
      </c>
      <c r="G956" t="s">
        <v>90</v>
      </c>
      <c r="H956" t="s">
        <v>54</v>
      </c>
      <c r="I956" t="s">
        <v>1472</v>
      </c>
      <c r="J956">
        <v>16</v>
      </c>
      <c r="K956" t="s">
        <v>56</v>
      </c>
      <c r="L956" t="s">
        <v>22</v>
      </c>
      <c r="M956" t="s">
        <v>57</v>
      </c>
      <c r="N956" t="s">
        <v>69</v>
      </c>
      <c r="O956" t="s">
        <v>44</v>
      </c>
    </row>
    <row r="957" spans="1:15" x14ac:dyDescent="0.35">
      <c r="A957">
        <v>771941</v>
      </c>
      <c r="B957" t="s">
        <v>15</v>
      </c>
      <c r="C957" t="s">
        <v>16</v>
      </c>
      <c r="D957">
        <v>24</v>
      </c>
      <c r="E957" t="s">
        <v>17</v>
      </c>
      <c r="F957" s="1">
        <v>42400.878472222219</v>
      </c>
      <c r="G957" t="s">
        <v>1473</v>
      </c>
      <c r="H957" t="s">
        <v>54</v>
      </c>
      <c r="I957" t="s">
        <v>1474</v>
      </c>
      <c r="J957">
        <v>21</v>
      </c>
      <c r="K957" t="s">
        <v>56</v>
      </c>
      <c r="L957" t="s">
        <v>22</v>
      </c>
      <c r="M957" t="s">
        <v>57</v>
      </c>
      <c r="N957" t="s">
        <v>69</v>
      </c>
      <c r="O957" t="s">
        <v>25</v>
      </c>
    </row>
    <row r="958" spans="1:15" x14ac:dyDescent="0.35">
      <c r="A958">
        <v>771941</v>
      </c>
      <c r="B958" t="s">
        <v>15</v>
      </c>
      <c r="C958" t="s">
        <v>16</v>
      </c>
      <c r="D958">
        <v>24</v>
      </c>
      <c r="E958" t="s">
        <v>17</v>
      </c>
      <c r="F958" s="1">
        <v>42380.155555555553</v>
      </c>
      <c r="G958" t="s">
        <v>1475</v>
      </c>
      <c r="H958" t="s">
        <v>19</v>
      </c>
      <c r="I958" t="s">
        <v>1476</v>
      </c>
      <c r="J958">
        <v>3</v>
      </c>
      <c r="K958" t="s">
        <v>21</v>
      </c>
      <c r="L958" t="s">
        <v>22</v>
      </c>
      <c r="M958" t="s">
        <v>23</v>
      </c>
      <c r="N958" t="s">
        <v>69</v>
      </c>
      <c r="O958" t="s">
        <v>58</v>
      </c>
    </row>
    <row r="959" spans="1:15" x14ac:dyDescent="0.35">
      <c r="A959">
        <v>771941</v>
      </c>
      <c r="B959" t="s">
        <v>15</v>
      </c>
      <c r="C959" t="s">
        <v>16</v>
      </c>
      <c r="D959">
        <v>24</v>
      </c>
      <c r="E959" t="s">
        <v>17</v>
      </c>
      <c r="F959" s="1">
        <v>42399.830555555556</v>
      </c>
      <c r="G959" t="s">
        <v>1477</v>
      </c>
      <c r="H959" t="s">
        <v>54</v>
      </c>
      <c r="I959" t="s">
        <v>1478</v>
      </c>
      <c r="J959">
        <v>19</v>
      </c>
      <c r="K959" t="s">
        <v>68</v>
      </c>
      <c r="L959" t="s">
        <v>22</v>
      </c>
      <c r="M959" t="s">
        <v>57</v>
      </c>
      <c r="N959" t="s">
        <v>69</v>
      </c>
      <c r="O959" t="s">
        <v>25</v>
      </c>
    </row>
    <row r="960" spans="1:15" x14ac:dyDescent="0.35">
      <c r="A960">
        <v>771941</v>
      </c>
      <c r="B960" t="s">
        <v>15</v>
      </c>
      <c r="C960" t="s">
        <v>16</v>
      </c>
      <c r="D960">
        <v>24</v>
      </c>
      <c r="E960" t="s">
        <v>17</v>
      </c>
      <c r="F960" s="1">
        <v>42394.834027777775</v>
      </c>
      <c r="G960" t="s">
        <v>662</v>
      </c>
      <c r="H960" t="s">
        <v>19</v>
      </c>
      <c r="I960" t="s">
        <v>1479</v>
      </c>
      <c r="J960">
        <v>20</v>
      </c>
      <c r="K960" t="s">
        <v>21</v>
      </c>
      <c r="L960" t="s">
        <v>22</v>
      </c>
      <c r="M960" t="s">
        <v>23</v>
      </c>
      <c r="N960" t="s">
        <v>69</v>
      </c>
      <c r="O960" t="s">
        <v>25</v>
      </c>
    </row>
    <row r="961" spans="1:15" x14ac:dyDescent="0.35">
      <c r="A961">
        <v>771941</v>
      </c>
      <c r="B961" t="s">
        <v>15</v>
      </c>
      <c r="C961" t="s">
        <v>16</v>
      </c>
      <c r="D961">
        <v>24</v>
      </c>
      <c r="E961" t="s">
        <v>17</v>
      </c>
      <c r="F961" s="1">
        <v>42380.258333333331</v>
      </c>
      <c r="G961" t="s">
        <v>1480</v>
      </c>
      <c r="H961" t="s">
        <v>251</v>
      </c>
      <c r="I961" t="s">
        <v>1481</v>
      </c>
      <c r="J961">
        <v>6</v>
      </c>
      <c r="K961" t="s">
        <v>21</v>
      </c>
      <c r="L961" t="s">
        <v>22</v>
      </c>
      <c r="M961" t="s">
        <v>23</v>
      </c>
      <c r="N961" t="s">
        <v>69</v>
      </c>
      <c r="O961" t="s">
        <v>33</v>
      </c>
    </row>
    <row r="962" spans="1:15" x14ac:dyDescent="0.35">
      <c r="A962">
        <v>809085</v>
      </c>
      <c r="B962" t="s">
        <v>15</v>
      </c>
      <c r="C962" t="s">
        <v>78</v>
      </c>
      <c r="D962">
        <v>28</v>
      </c>
      <c r="E962" t="s">
        <v>35</v>
      </c>
      <c r="F962" s="1">
        <v>42421.3125</v>
      </c>
      <c r="G962" t="s">
        <v>527</v>
      </c>
      <c r="H962" t="s">
        <v>54</v>
      </c>
      <c r="I962" t="s">
        <v>1482</v>
      </c>
      <c r="J962">
        <v>7</v>
      </c>
      <c r="K962" t="s">
        <v>56</v>
      </c>
      <c r="L962" t="s">
        <v>50</v>
      </c>
      <c r="M962" t="s">
        <v>57</v>
      </c>
      <c r="N962" t="s">
        <v>69</v>
      </c>
      <c r="O962" t="s">
        <v>33</v>
      </c>
    </row>
    <row r="963" spans="1:15" x14ac:dyDescent="0.35">
      <c r="A963">
        <v>809085</v>
      </c>
      <c r="B963" t="s">
        <v>15</v>
      </c>
      <c r="C963" t="s">
        <v>78</v>
      </c>
      <c r="D963">
        <v>28</v>
      </c>
      <c r="E963" t="s">
        <v>35</v>
      </c>
      <c r="F963" s="1">
        <v>42420.387499999997</v>
      </c>
      <c r="G963" t="s">
        <v>76</v>
      </c>
      <c r="H963" t="s">
        <v>54</v>
      </c>
      <c r="I963" t="s">
        <v>1483</v>
      </c>
      <c r="J963">
        <v>9</v>
      </c>
      <c r="K963" t="s">
        <v>68</v>
      </c>
      <c r="L963" t="s">
        <v>50</v>
      </c>
      <c r="M963" t="s">
        <v>57</v>
      </c>
      <c r="N963" t="s">
        <v>69</v>
      </c>
      <c r="O963" t="s">
        <v>33</v>
      </c>
    </row>
    <row r="964" spans="1:15" x14ac:dyDescent="0.35">
      <c r="A964">
        <v>809085</v>
      </c>
      <c r="B964" t="s">
        <v>15</v>
      </c>
      <c r="C964" t="s">
        <v>78</v>
      </c>
      <c r="D964">
        <v>28</v>
      </c>
      <c r="E964" t="s">
        <v>35</v>
      </c>
      <c r="F964" s="1">
        <v>42442.59375</v>
      </c>
      <c r="G964" t="s">
        <v>1484</v>
      </c>
      <c r="H964" t="s">
        <v>71</v>
      </c>
      <c r="I964" t="s">
        <v>1485</v>
      </c>
      <c r="J964">
        <v>14</v>
      </c>
      <c r="K964" t="s">
        <v>56</v>
      </c>
      <c r="L964" t="s">
        <v>31</v>
      </c>
      <c r="M964" t="s">
        <v>57</v>
      </c>
      <c r="N964" t="s">
        <v>69</v>
      </c>
      <c r="O964" t="s">
        <v>44</v>
      </c>
    </row>
    <row r="965" spans="1:15" x14ac:dyDescent="0.35">
      <c r="A965">
        <v>809085</v>
      </c>
      <c r="B965" t="s">
        <v>15</v>
      </c>
      <c r="C965" t="s">
        <v>78</v>
      </c>
      <c r="D965">
        <v>28</v>
      </c>
      <c r="E965" t="s">
        <v>35</v>
      </c>
      <c r="F965" s="1">
        <v>42402.799305555556</v>
      </c>
      <c r="G965" t="s">
        <v>527</v>
      </c>
      <c r="H965" t="s">
        <v>86</v>
      </c>
      <c r="I965" t="s">
        <v>1486</v>
      </c>
      <c r="J965">
        <v>19</v>
      </c>
      <c r="K965" t="s">
        <v>49</v>
      </c>
      <c r="L965" t="s">
        <v>50</v>
      </c>
      <c r="M965" t="s">
        <v>23</v>
      </c>
      <c r="N965" t="s">
        <v>69</v>
      </c>
      <c r="O965" t="s">
        <v>25</v>
      </c>
    </row>
    <row r="966" spans="1:15" x14ac:dyDescent="0.35">
      <c r="A966">
        <v>809085</v>
      </c>
      <c r="B966" t="s">
        <v>15</v>
      </c>
      <c r="C966" t="s">
        <v>78</v>
      </c>
      <c r="D966">
        <v>28</v>
      </c>
      <c r="E966" t="s">
        <v>35</v>
      </c>
      <c r="F966" s="1">
        <v>42440.222916666666</v>
      </c>
      <c r="G966" t="s">
        <v>99</v>
      </c>
      <c r="H966" t="s">
        <v>54</v>
      </c>
      <c r="I966" t="s">
        <v>1487</v>
      </c>
      <c r="J966">
        <v>5</v>
      </c>
      <c r="K966" t="s">
        <v>42</v>
      </c>
      <c r="L966" t="s">
        <v>31</v>
      </c>
      <c r="M966" t="s">
        <v>23</v>
      </c>
      <c r="N966" t="s">
        <v>69</v>
      </c>
      <c r="O966" t="s">
        <v>33</v>
      </c>
    </row>
    <row r="967" spans="1:15" x14ac:dyDescent="0.35">
      <c r="A967">
        <v>809085</v>
      </c>
      <c r="B967" t="s">
        <v>15</v>
      </c>
      <c r="C967" t="s">
        <v>78</v>
      </c>
      <c r="D967">
        <v>28</v>
      </c>
      <c r="E967" t="s">
        <v>35</v>
      </c>
      <c r="F967" s="1">
        <v>42389.927777777775</v>
      </c>
      <c r="G967" t="s">
        <v>1488</v>
      </c>
      <c r="H967" t="s">
        <v>19</v>
      </c>
      <c r="I967" t="s">
        <v>1489</v>
      </c>
      <c r="J967">
        <v>22</v>
      </c>
      <c r="K967" t="s">
        <v>30</v>
      </c>
      <c r="L967" t="s">
        <v>22</v>
      </c>
      <c r="M967" t="s">
        <v>23</v>
      </c>
      <c r="N967" t="s">
        <v>69</v>
      </c>
      <c r="O967" t="s">
        <v>104</v>
      </c>
    </row>
    <row r="968" spans="1:15" x14ac:dyDescent="0.35">
      <c r="A968">
        <v>809085</v>
      </c>
      <c r="B968" t="s">
        <v>15</v>
      </c>
      <c r="C968" t="s">
        <v>78</v>
      </c>
      <c r="D968">
        <v>28</v>
      </c>
      <c r="E968" t="s">
        <v>35</v>
      </c>
      <c r="F968" s="1">
        <v>42380.299305555556</v>
      </c>
      <c r="G968" t="s">
        <v>527</v>
      </c>
      <c r="H968" t="s">
        <v>54</v>
      </c>
      <c r="I968" t="s">
        <v>1490</v>
      </c>
      <c r="J968">
        <v>7</v>
      </c>
      <c r="K968" t="s">
        <v>21</v>
      </c>
      <c r="L968" t="s">
        <v>22</v>
      </c>
      <c r="M968" t="s">
        <v>23</v>
      </c>
      <c r="N968" t="s">
        <v>69</v>
      </c>
      <c r="O968" t="s">
        <v>33</v>
      </c>
    </row>
    <row r="969" spans="1:15" x14ac:dyDescent="0.35">
      <c r="A969">
        <v>809085</v>
      </c>
      <c r="B969" t="s">
        <v>15</v>
      </c>
      <c r="C969" t="s">
        <v>78</v>
      </c>
      <c r="D969">
        <v>28</v>
      </c>
      <c r="E969" t="s">
        <v>35</v>
      </c>
      <c r="F969" s="1">
        <v>42399.799305555556</v>
      </c>
      <c r="G969" t="s">
        <v>76</v>
      </c>
      <c r="H969" t="s">
        <v>86</v>
      </c>
      <c r="I969" t="s">
        <v>1491</v>
      </c>
      <c r="J969">
        <v>19</v>
      </c>
      <c r="K969" t="s">
        <v>68</v>
      </c>
      <c r="L969" t="s">
        <v>22</v>
      </c>
      <c r="M969" t="s">
        <v>57</v>
      </c>
      <c r="N969" t="s">
        <v>69</v>
      </c>
      <c r="O969" t="s">
        <v>25</v>
      </c>
    </row>
    <row r="970" spans="1:15" x14ac:dyDescent="0.35">
      <c r="A970">
        <v>809085</v>
      </c>
      <c r="B970" t="s">
        <v>15</v>
      </c>
      <c r="C970" t="s">
        <v>78</v>
      </c>
      <c r="D970">
        <v>28</v>
      </c>
      <c r="E970" t="s">
        <v>35</v>
      </c>
      <c r="F970" s="1">
        <v>42427.325694444444</v>
      </c>
      <c r="G970" t="s">
        <v>231</v>
      </c>
      <c r="H970" t="s">
        <v>51</v>
      </c>
      <c r="I970" t="s">
        <v>1492</v>
      </c>
      <c r="J970">
        <v>7</v>
      </c>
      <c r="K970" t="s">
        <v>68</v>
      </c>
      <c r="L970" t="s">
        <v>50</v>
      </c>
      <c r="M970" t="s">
        <v>57</v>
      </c>
      <c r="N970" t="s">
        <v>69</v>
      </c>
      <c r="O970" t="s">
        <v>33</v>
      </c>
    </row>
    <row r="971" spans="1:15" x14ac:dyDescent="0.35">
      <c r="A971">
        <v>809085</v>
      </c>
      <c r="B971" t="s">
        <v>15</v>
      </c>
      <c r="C971" t="s">
        <v>78</v>
      </c>
      <c r="D971">
        <v>28</v>
      </c>
      <c r="E971" t="s">
        <v>35</v>
      </c>
      <c r="F971" s="1">
        <v>42444.654166666667</v>
      </c>
      <c r="G971" t="s">
        <v>1493</v>
      </c>
      <c r="H971" t="s">
        <v>28</v>
      </c>
      <c r="I971" t="s">
        <v>1494</v>
      </c>
      <c r="J971">
        <v>15</v>
      </c>
      <c r="K971" t="s">
        <v>49</v>
      </c>
      <c r="L971" t="s">
        <v>31</v>
      </c>
      <c r="M971" t="s">
        <v>23</v>
      </c>
      <c r="N971" t="s">
        <v>69</v>
      </c>
      <c r="O971" t="s">
        <v>44</v>
      </c>
    </row>
    <row r="972" spans="1:15" x14ac:dyDescent="0.35">
      <c r="A972">
        <v>809085</v>
      </c>
      <c r="B972" t="s">
        <v>15</v>
      </c>
      <c r="C972" t="s">
        <v>78</v>
      </c>
      <c r="D972">
        <v>28</v>
      </c>
      <c r="E972" t="s">
        <v>35</v>
      </c>
      <c r="F972" s="1">
        <v>42430.824999999997</v>
      </c>
      <c r="G972" t="s">
        <v>1495</v>
      </c>
      <c r="H972" t="s">
        <v>116</v>
      </c>
      <c r="I972" t="s">
        <v>1496</v>
      </c>
      <c r="J972">
        <v>19</v>
      </c>
      <c r="K972" t="s">
        <v>49</v>
      </c>
      <c r="L972" t="s">
        <v>31</v>
      </c>
      <c r="M972" t="s">
        <v>23</v>
      </c>
      <c r="N972" t="s">
        <v>69</v>
      </c>
      <c r="O972" t="s">
        <v>25</v>
      </c>
    </row>
    <row r="973" spans="1:15" x14ac:dyDescent="0.35">
      <c r="A973">
        <v>764468</v>
      </c>
      <c r="B973" t="s">
        <v>15</v>
      </c>
      <c r="C973" t="s">
        <v>78</v>
      </c>
      <c r="D973">
        <v>34</v>
      </c>
      <c r="E973" t="s">
        <v>35</v>
      </c>
      <c r="F973" s="1">
        <v>42402.290972222225</v>
      </c>
      <c r="G973" t="s">
        <v>580</v>
      </c>
      <c r="H973" t="s">
        <v>54</v>
      </c>
      <c r="I973" t="s">
        <v>1497</v>
      </c>
      <c r="J973">
        <v>6</v>
      </c>
      <c r="K973" t="s">
        <v>49</v>
      </c>
      <c r="L973" t="s">
        <v>50</v>
      </c>
      <c r="M973" t="s">
        <v>23</v>
      </c>
      <c r="N973" t="s">
        <v>24</v>
      </c>
      <c r="O973" t="s">
        <v>33</v>
      </c>
    </row>
    <row r="974" spans="1:15" x14ac:dyDescent="0.35">
      <c r="A974">
        <v>2368619</v>
      </c>
      <c r="B974" t="s">
        <v>15</v>
      </c>
      <c r="C974" t="s">
        <v>78</v>
      </c>
      <c r="D974">
        <v>23</v>
      </c>
      <c r="E974" t="s">
        <v>335</v>
      </c>
      <c r="F974" s="1">
        <v>42384.655555555553</v>
      </c>
      <c r="G974" t="s">
        <v>1498</v>
      </c>
      <c r="H974" t="s">
        <v>106</v>
      </c>
      <c r="I974" t="s">
        <v>1499</v>
      </c>
      <c r="J974">
        <v>15</v>
      </c>
      <c r="K974" t="s">
        <v>42</v>
      </c>
      <c r="L974" t="s">
        <v>22</v>
      </c>
      <c r="M974" t="s">
        <v>23</v>
      </c>
      <c r="N974" t="s">
        <v>69</v>
      </c>
      <c r="O974" t="s">
        <v>44</v>
      </c>
    </row>
    <row r="975" spans="1:15" x14ac:dyDescent="0.35">
      <c r="A975">
        <v>809087</v>
      </c>
      <c r="B975" t="s">
        <v>15</v>
      </c>
      <c r="C975" t="s">
        <v>39</v>
      </c>
      <c r="D975">
        <v>9</v>
      </c>
      <c r="E975" t="s">
        <v>45</v>
      </c>
      <c r="F975" s="1">
        <v>42382.743055555555</v>
      </c>
      <c r="G975" t="s">
        <v>452</v>
      </c>
      <c r="H975" t="s">
        <v>54</v>
      </c>
      <c r="I975" t="s">
        <v>1500</v>
      </c>
      <c r="J975">
        <v>17</v>
      </c>
      <c r="K975" t="s">
        <v>30</v>
      </c>
      <c r="L975" t="s">
        <v>22</v>
      </c>
      <c r="M975" t="s">
        <v>23</v>
      </c>
      <c r="N975" t="s">
        <v>32</v>
      </c>
      <c r="O975" t="s">
        <v>25</v>
      </c>
    </row>
    <row r="976" spans="1:15" x14ac:dyDescent="0.35">
      <c r="A976">
        <v>809087</v>
      </c>
      <c r="B976" t="s">
        <v>15</v>
      </c>
      <c r="C976" t="s">
        <v>39</v>
      </c>
      <c r="D976">
        <v>9</v>
      </c>
      <c r="E976" t="s">
        <v>45</v>
      </c>
      <c r="F976" s="1">
        <v>42385.609722222223</v>
      </c>
      <c r="G976" t="s">
        <v>88</v>
      </c>
      <c r="H976" t="s">
        <v>71</v>
      </c>
      <c r="I976" t="s">
        <v>1501</v>
      </c>
      <c r="J976">
        <v>14</v>
      </c>
      <c r="K976" t="s">
        <v>68</v>
      </c>
      <c r="L976" t="s">
        <v>22</v>
      </c>
      <c r="M976" t="s">
        <v>57</v>
      </c>
      <c r="N976" t="s">
        <v>32</v>
      </c>
      <c r="O976" t="s">
        <v>44</v>
      </c>
    </row>
    <row r="977" spans="1:15" x14ac:dyDescent="0.35">
      <c r="A977">
        <v>809087</v>
      </c>
      <c r="B977" t="s">
        <v>15</v>
      </c>
      <c r="C977" t="s">
        <v>39</v>
      </c>
      <c r="D977">
        <v>9</v>
      </c>
      <c r="E977" t="s">
        <v>45</v>
      </c>
      <c r="F977" s="1">
        <v>42383.712500000001</v>
      </c>
      <c r="G977" t="s">
        <v>1502</v>
      </c>
      <c r="H977" t="s">
        <v>86</v>
      </c>
      <c r="I977" t="s">
        <v>1503</v>
      </c>
      <c r="J977">
        <v>17</v>
      </c>
      <c r="K977" t="s">
        <v>63</v>
      </c>
      <c r="L977" t="s">
        <v>22</v>
      </c>
      <c r="M977" t="s">
        <v>23</v>
      </c>
      <c r="N977" t="s">
        <v>32</v>
      </c>
      <c r="O977" t="s">
        <v>25</v>
      </c>
    </row>
    <row r="978" spans="1:15" x14ac:dyDescent="0.35">
      <c r="A978">
        <v>809087</v>
      </c>
      <c r="B978" t="s">
        <v>15</v>
      </c>
      <c r="C978" t="s">
        <v>39</v>
      </c>
      <c r="D978">
        <v>9</v>
      </c>
      <c r="E978" t="s">
        <v>45</v>
      </c>
      <c r="F978" s="1">
        <v>42381.546527777777</v>
      </c>
      <c r="G978" t="s">
        <v>686</v>
      </c>
      <c r="H978" t="s">
        <v>86</v>
      </c>
      <c r="I978" t="s">
        <v>1504</v>
      </c>
      <c r="J978">
        <v>13</v>
      </c>
      <c r="K978" t="s">
        <v>49</v>
      </c>
      <c r="L978" t="s">
        <v>22</v>
      </c>
      <c r="M978" t="s">
        <v>23</v>
      </c>
      <c r="N978" t="s">
        <v>32</v>
      </c>
      <c r="O978" t="s">
        <v>44</v>
      </c>
    </row>
    <row r="979" spans="1:15" x14ac:dyDescent="0.35">
      <c r="A979">
        <v>771945</v>
      </c>
      <c r="B979" t="s">
        <v>15</v>
      </c>
      <c r="C979" t="s">
        <v>78</v>
      </c>
      <c r="D979">
        <v>32</v>
      </c>
      <c r="E979" t="s">
        <v>64</v>
      </c>
      <c r="F979" s="1">
        <v>42407.793055555558</v>
      </c>
      <c r="G979" t="s">
        <v>913</v>
      </c>
      <c r="H979" t="s">
        <v>19</v>
      </c>
      <c r="I979" t="s">
        <v>1505</v>
      </c>
      <c r="J979">
        <v>19</v>
      </c>
      <c r="K979" t="s">
        <v>56</v>
      </c>
      <c r="L979" t="s">
        <v>50</v>
      </c>
      <c r="M979" t="s">
        <v>57</v>
      </c>
      <c r="N979" t="s">
        <v>24</v>
      </c>
      <c r="O979" t="s">
        <v>25</v>
      </c>
    </row>
    <row r="980" spans="1:15" x14ac:dyDescent="0.35">
      <c r="A980">
        <v>771945</v>
      </c>
      <c r="B980" t="s">
        <v>15</v>
      </c>
      <c r="C980" t="s">
        <v>78</v>
      </c>
      <c r="D980">
        <v>32</v>
      </c>
      <c r="E980" t="s">
        <v>64</v>
      </c>
      <c r="F980" s="1">
        <v>42397.819444444445</v>
      </c>
      <c r="G980" t="s">
        <v>174</v>
      </c>
      <c r="H980" t="s">
        <v>47</v>
      </c>
      <c r="I980" t="s">
        <v>1506</v>
      </c>
      <c r="J980">
        <v>19</v>
      </c>
      <c r="K980" t="s">
        <v>63</v>
      </c>
      <c r="L980" t="s">
        <v>22</v>
      </c>
      <c r="M980" t="s">
        <v>23</v>
      </c>
      <c r="N980" t="s">
        <v>24</v>
      </c>
      <c r="O980" t="s">
        <v>25</v>
      </c>
    </row>
    <row r="981" spans="1:15" x14ac:dyDescent="0.35">
      <c r="A981">
        <v>771945</v>
      </c>
      <c r="B981" t="s">
        <v>15</v>
      </c>
      <c r="C981" t="s">
        <v>78</v>
      </c>
      <c r="D981">
        <v>32</v>
      </c>
      <c r="E981" t="s">
        <v>64</v>
      </c>
      <c r="F981" s="1">
        <v>42396.393750000003</v>
      </c>
      <c r="G981" t="s">
        <v>578</v>
      </c>
      <c r="H981" t="s">
        <v>106</v>
      </c>
      <c r="I981" t="s">
        <v>1507</v>
      </c>
      <c r="J981">
        <v>9</v>
      </c>
      <c r="K981" t="s">
        <v>30</v>
      </c>
      <c r="L981" t="s">
        <v>22</v>
      </c>
      <c r="M981" t="s">
        <v>23</v>
      </c>
      <c r="N981" t="s">
        <v>24</v>
      </c>
      <c r="O981" t="s">
        <v>33</v>
      </c>
    </row>
    <row r="982" spans="1:15" x14ac:dyDescent="0.35">
      <c r="A982">
        <v>771945</v>
      </c>
      <c r="B982" t="s">
        <v>15</v>
      </c>
      <c r="C982" t="s">
        <v>78</v>
      </c>
      <c r="D982">
        <v>32</v>
      </c>
      <c r="E982" t="s">
        <v>64</v>
      </c>
      <c r="F982" s="1">
        <v>42396.343055555553</v>
      </c>
      <c r="G982" t="s">
        <v>489</v>
      </c>
      <c r="H982" t="s">
        <v>225</v>
      </c>
      <c r="I982" t="s">
        <v>1508</v>
      </c>
      <c r="J982">
        <v>8</v>
      </c>
      <c r="K982" t="s">
        <v>30</v>
      </c>
      <c r="L982" t="s">
        <v>22</v>
      </c>
      <c r="M982" t="s">
        <v>23</v>
      </c>
      <c r="N982" t="s">
        <v>24</v>
      </c>
      <c r="O982" t="s">
        <v>33</v>
      </c>
    </row>
    <row r="983" spans="1:15" x14ac:dyDescent="0.35">
      <c r="A983">
        <v>771945</v>
      </c>
      <c r="B983" t="s">
        <v>15</v>
      </c>
      <c r="C983" t="s">
        <v>78</v>
      </c>
      <c r="D983">
        <v>32</v>
      </c>
      <c r="E983" t="s">
        <v>64</v>
      </c>
      <c r="F983" s="1">
        <v>42457.573611111111</v>
      </c>
      <c r="G983" t="s">
        <v>1509</v>
      </c>
      <c r="H983" t="s">
        <v>86</v>
      </c>
      <c r="I983" t="s">
        <v>392</v>
      </c>
      <c r="J983">
        <v>13</v>
      </c>
      <c r="K983" t="s">
        <v>21</v>
      </c>
      <c r="L983" t="s">
        <v>31</v>
      </c>
      <c r="M983" t="s">
        <v>23</v>
      </c>
      <c r="N983" t="s">
        <v>24</v>
      </c>
      <c r="O983" t="s">
        <v>44</v>
      </c>
    </row>
    <row r="984" spans="1:15" x14ac:dyDescent="0.35">
      <c r="A984">
        <v>820518</v>
      </c>
      <c r="B984" t="s">
        <v>15</v>
      </c>
      <c r="C984" t="s">
        <v>78</v>
      </c>
      <c r="D984">
        <v>30</v>
      </c>
      <c r="E984" t="s">
        <v>35</v>
      </c>
      <c r="F984" s="1">
        <v>42376.71597222222</v>
      </c>
      <c r="G984" t="s">
        <v>314</v>
      </c>
      <c r="H984" t="s">
        <v>116</v>
      </c>
      <c r="I984" t="s">
        <v>1510</v>
      </c>
      <c r="J984">
        <v>17</v>
      </c>
      <c r="K984" t="s">
        <v>63</v>
      </c>
      <c r="L984" t="s">
        <v>22</v>
      </c>
      <c r="M984" t="s">
        <v>23</v>
      </c>
      <c r="N984" t="s">
        <v>24</v>
      </c>
      <c r="O984" t="s">
        <v>25</v>
      </c>
    </row>
    <row r="985" spans="1:15" x14ac:dyDescent="0.35">
      <c r="A985">
        <v>788792</v>
      </c>
      <c r="B985" t="s">
        <v>38</v>
      </c>
      <c r="C985" t="s">
        <v>78</v>
      </c>
      <c r="D985">
        <v>36</v>
      </c>
      <c r="E985" t="s">
        <v>35</v>
      </c>
      <c r="F985" s="1">
        <v>42398.215277777781</v>
      </c>
      <c r="G985" t="s">
        <v>105</v>
      </c>
      <c r="H985" t="s">
        <v>106</v>
      </c>
      <c r="I985" t="s">
        <v>1511</v>
      </c>
      <c r="J985">
        <v>5</v>
      </c>
      <c r="K985" t="s">
        <v>42</v>
      </c>
      <c r="L985" t="s">
        <v>22</v>
      </c>
      <c r="M985" t="s">
        <v>23</v>
      </c>
      <c r="N985" t="s">
        <v>24</v>
      </c>
      <c r="O985" t="s">
        <v>33</v>
      </c>
    </row>
    <row r="986" spans="1:15" x14ac:dyDescent="0.35">
      <c r="A986">
        <v>788792</v>
      </c>
      <c r="B986" t="s">
        <v>38</v>
      </c>
      <c r="C986" t="s">
        <v>78</v>
      </c>
      <c r="D986">
        <v>36</v>
      </c>
      <c r="E986" t="s">
        <v>35</v>
      </c>
      <c r="F986" s="1">
        <v>42385.477083333331</v>
      </c>
      <c r="G986" t="s">
        <v>268</v>
      </c>
      <c r="H986" t="s">
        <v>106</v>
      </c>
      <c r="I986" t="s">
        <v>1512</v>
      </c>
      <c r="J986">
        <v>11</v>
      </c>
      <c r="K986" t="s">
        <v>68</v>
      </c>
      <c r="L986" t="s">
        <v>22</v>
      </c>
      <c r="M986" t="s">
        <v>57</v>
      </c>
      <c r="N986" t="s">
        <v>24</v>
      </c>
      <c r="O986" t="s">
        <v>44</v>
      </c>
    </row>
    <row r="987" spans="1:15" x14ac:dyDescent="0.35">
      <c r="A987">
        <v>788792</v>
      </c>
      <c r="B987" t="s">
        <v>38</v>
      </c>
      <c r="C987" t="s">
        <v>78</v>
      </c>
      <c r="D987">
        <v>36</v>
      </c>
      <c r="E987" t="s">
        <v>35</v>
      </c>
      <c r="F987" s="1">
        <v>42460.798611111109</v>
      </c>
      <c r="G987" t="s">
        <v>1513</v>
      </c>
      <c r="H987" t="s">
        <v>66</v>
      </c>
      <c r="I987" t="s">
        <v>1514</v>
      </c>
      <c r="J987">
        <v>19</v>
      </c>
      <c r="K987" t="s">
        <v>63</v>
      </c>
      <c r="L987" t="s">
        <v>31</v>
      </c>
      <c r="M987" t="s">
        <v>23</v>
      </c>
      <c r="N987" t="s">
        <v>24</v>
      </c>
      <c r="O987" t="s">
        <v>25</v>
      </c>
    </row>
    <row r="988" spans="1:15" x14ac:dyDescent="0.35">
      <c r="A988">
        <v>788792</v>
      </c>
      <c r="B988" t="s">
        <v>38</v>
      </c>
      <c r="C988" t="s">
        <v>78</v>
      </c>
      <c r="D988">
        <v>36</v>
      </c>
      <c r="E988" t="s">
        <v>35</v>
      </c>
      <c r="F988" s="1">
        <v>42428.515277777777</v>
      </c>
      <c r="G988" t="s">
        <v>166</v>
      </c>
      <c r="H988" t="s">
        <v>106</v>
      </c>
      <c r="I988" t="s">
        <v>1515</v>
      </c>
      <c r="J988">
        <v>12</v>
      </c>
      <c r="K988" t="s">
        <v>56</v>
      </c>
      <c r="L988" t="s">
        <v>50</v>
      </c>
      <c r="M988" t="s">
        <v>57</v>
      </c>
      <c r="N988" t="s">
        <v>24</v>
      </c>
      <c r="O988" t="s">
        <v>44</v>
      </c>
    </row>
    <row r="989" spans="1:15" x14ac:dyDescent="0.35">
      <c r="A989">
        <v>939765</v>
      </c>
      <c r="B989" t="s">
        <v>15</v>
      </c>
      <c r="C989" t="s">
        <v>78</v>
      </c>
      <c r="D989">
        <v>39</v>
      </c>
      <c r="E989" t="s">
        <v>35</v>
      </c>
      <c r="F989" s="1">
        <v>42453.294444444444</v>
      </c>
      <c r="G989" t="s">
        <v>312</v>
      </c>
      <c r="H989" t="s">
        <v>106</v>
      </c>
      <c r="I989" t="s">
        <v>1516</v>
      </c>
      <c r="J989">
        <v>7</v>
      </c>
      <c r="K989" t="s">
        <v>63</v>
      </c>
      <c r="L989" t="s">
        <v>31</v>
      </c>
      <c r="M989" t="s">
        <v>23</v>
      </c>
      <c r="N989" t="s">
        <v>93</v>
      </c>
      <c r="O989" t="s">
        <v>33</v>
      </c>
    </row>
    <row r="990" spans="1:15" x14ac:dyDescent="0.35">
      <c r="A990">
        <v>939766</v>
      </c>
      <c r="B990" t="s">
        <v>15</v>
      </c>
      <c r="C990" t="s">
        <v>78</v>
      </c>
      <c r="D990">
        <v>22</v>
      </c>
      <c r="E990" t="s">
        <v>35</v>
      </c>
      <c r="F990" s="1">
        <v>42450.95</v>
      </c>
      <c r="G990" t="s">
        <v>1517</v>
      </c>
      <c r="H990" t="s">
        <v>19</v>
      </c>
      <c r="I990" t="s">
        <v>1518</v>
      </c>
      <c r="J990">
        <v>22</v>
      </c>
      <c r="K990" t="s">
        <v>21</v>
      </c>
      <c r="L990" t="s">
        <v>31</v>
      </c>
      <c r="M990" t="s">
        <v>23</v>
      </c>
      <c r="N990" t="s">
        <v>69</v>
      </c>
      <c r="O990" t="s">
        <v>104</v>
      </c>
    </row>
    <row r="991" spans="1:15" x14ac:dyDescent="0.35">
      <c r="A991">
        <v>939766</v>
      </c>
      <c r="B991" t="s">
        <v>15</v>
      </c>
      <c r="C991" t="s">
        <v>78</v>
      </c>
      <c r="D991">
        <v>22</v>
      </c>
      <c r="E991" t="s">
        <v>35</v>
      </c>
      <c r="F991" s="1">
        <v>42449.584027777775</v>
      </c>
      <c r="G991" t="s">
        <v>1519</v>
      </c>
      <c r="H991" t="s">
        <v>54</v>
      </c>
      <c r="I991" t="s">
        <v>1520</v>
      </c>
      <c r="J991">
        <v>14</v>
      </c>
      <c r="K991" t="s">
        <v>56</v>
      </c>
      <c r="L991" t="s">
        <v>31</v>
      </c>
      <c r="M991" t="s">
        <v>57</v>
      </c>
      <c r="N991" t="s">
        <v>69</v>
      </c>
      <c r="O991" t="s">
        <v>44</v>
      </c>
    </row>
    <row r="992" spans="1:15" x14ac:dyDescent="0.35">
      <c r="A992">
        <v>789360</v>
      </c>
      <c r="B992" t="s">
        <v>15</v>
      </c>
      <c r="C992" t="s">
        <v>78</v>
      </c>
      <c r="D992">
        <v>24</v>
      </c>
      <c r="E992" t="s">
        <v>75</v>
      </c>
      <c r="F992" s="1">
        <v>42413.436111111114</v>
      </c>
      <c r="G992" t="s">
        <v>1521</v>
      </c>
      <c r="H992" t="s">
        <v>51</v>
      </c>
      <c r="I992" t="s">
        <v>1522</v>
      </c>
      <c r="J992">
        <v>10</v>
      </c>
      <c r="K992" t="s">
        <v>68</v>
      </c>
      <c r="L992" t="s">
        <v>50</v>
      </c>
      <c r="M992" t="s">
        <v>57</v>
      </c>
      <c r="N992" t="s">
        <v>69</v>
      </c>
      <c r="O992" t="s">
        <v>33</v>
      </c>
    </row>
    <row r="993" spans="1:15" x14ac:dyDescent="0.35">
      <c r="A993">
        <v>866310</v>
      </c>
      <c r="B993" t="s">
        <v>15</v>
      </c>
      <c r="C993" t="s">
        <v>78</v>
      </c>
      <c r="D993">
        <v>35</v>
      </c>
      <c r="E993" t="s">
        <v>35</v>
      </c>
      <c r="F993" s="1">
        <v>42442.697222222225</v>
      </c>
      <c r="G993" t="s">
        <v>1333</v>
      </c>
      <c r="H993" t="s">
        <v>71</v>
      </c>
      <c r="I993" t="s">
        <v>1523</v>
      </c>
      <c r="J993">
        <v>16</v>
      </c>
      <c r="K993" t="s">
        <v>56</v>
      </c>
      <c r="L993" t="s">
        <v>31</v>
      </c>
      <c r="M993" t="s">
        <v>57</v>
      </c>
      <c r="N993" t="s">
        <v>24</v>
      </c>
      <c r="O993" t="s">
        <v>44</v>
      </c>
    </row>
    <row r="994" spans="1:15" x14ac:dyDescent="0.35">
      <c r="A994">
        <v>866310</v>
      </c>
      <c r="B994" t="s">
        <v>15</v>
      </c>
      <c r="C994" t="s">
        <v>78</v>
      </c>
      <c r="D994">
        <v>35</v>
      </c>
      <c r="E994" t="s">
        <v>35</v>
      </c>
      <c r="F994" s="1">
        <v>42447.813888888886</v>
      </c>
      <c r="G994" t="s">
        <v>206</v>
      </c>
      <c r="H994" t="s">
        <v>71</v>
      </c>
      <c r="I994" t="s">
        <v>1524</v>
      </c>
      <c r="J994">
        <v>19</v>
      </c>
      <c r="K994" t="s">
        <v>42</v>
      </c>
      <c r="L994" t="s">
        <v>31</v>
      </c>
      <c r="M994" t="s">
        <v>23</v>
      </c>
      <c r="N994" t="s">
        <v>24</v>
      </c>
      <c r="O994" t="s">
        <v>25</v>
      </c>
    </row>
    <row r="995" spans="1:15" x14ac:dyDescent="0.35">
      <c r="A995">
        <v>788794</v>
      </c>
      <c r="B995" t="s">
        <v>15</v>
      </c>
      <c r="C995" t="s">
        <v>78</v>
      </c>
      <c r="D995">
        <v>24</v>
      </c>
      <c r="E995" t="s">
        <v>134</v>
      </c>
      <c r="F995" s="1">
        <v>42411.776388888888</v>
      </c>
      <c r="G995" t="s">
        <v>1525</v>
      </c>
      <c r="H995" t="s">
        <v>66</v>
      </c>
      <c r="I995" t="s">
        <v>1526</v>
      </c>
      <c r="J995">
        <v>18</v>
      </c>
      <c r="K995" t="s">
        <v>63</v>
      </c>
      <c r="L995" t="s">
        <v>50</v>
      </c>
      <c r="M995" t="s">
        <v>23</v>
      </c>
      <c r="N995" t="s">
        <v>69</v>
      </c>
      <c r="O995" t="s">
        <v>25</v>
      </c>
    </row>
    <row r="996" spans="1:15" x14ac:dyDescent="0.35">
      <c r="A996">
        <v>788794</v>
      </c>
      <c r="B996" t="s">
        <v>15</v>
      </c>
      <c r="C996" t="s">
        <v>78</v>
      </c>
      <c r="D996">
        <v>24</v>
      </c>
      <c r="E996" t="s">
        <v>134</v>
      </c>
      <c r="F996" s="1">
        <v>42410.445138888892</v>
      </c>
      <c r="G996" t="s">
        <v>1527</v>
      </c>
      <c r="H996" t="s">
        <v>54</v>
      </c>
      <c r="I996" t="s">
        <v>1528</v>
      </c>
      <c r="J996">
        <v>10</v>
      </c>
      <c r="K996" t="s">
        <v>30</v>
      </c>
      <c r="L996" t="s">
        <v>50</v>
      </c>
      <c r="M996" t="s">
        <v>23</v>
      </c>
      <c r="N996" t="s">
        <v>69</v>
      </c>
      <c r="O996" t="s">
        <v>33</v>
      </c>
    </row>
    <row r="997" spans="1:15" x14ac:dyDescent="0.35">
      <c r="A997">
        <v>788794</v>
      </c>
      <c r="B997" t="s">
        <v>15</v>
      </c>
      <c r="C997" t="s">
        <v>78</v>
      </c>
      <c r="D997">
        <v>24</v>
      </c>
      <c r="E997" t="s">
        <v>134</v>
      </c>
      <c r="F997" s="1">
        <v>42406.870138888888</v>
      </c>
      <c r="G997" t="s">
        <v>1529</v>
      </c>
      <c r="H997" t="s">
        <v>71</v>
      </c>
      <c r="I997" t="s">
        <v>1530</v>
      </c>
      <c r="J997">
        <v>20</v>
      </c>
      <c r="K997" t="s">
        <v>68</v>
      </c>
      <c r="L997" t="s">
        <v>50</v>
      </c>
      <c r="M997" t="s">
        <v>57</v>
      </c>
      <c r="N997" t="s">
        <v>69</v>
      </c>
      <c r="O997" t="s">
        <v>25</v>
      </c>
    </row>
    <row r="998" spans="1:15" x14ac:dyDescent="0.35">
      <c r="A998">
        <v>788794</v>
      </c>
      <c r="B998" t="s">
        <v>15</v>
      </c>
      <c r="C998" t="s">
        <v>78</v>
      </c>
      <c r="D998">
        <v>24</v>
      </c>
      <c r="E998" t="s">
        <v>134</v>
      </c>
      <c r="F998" s="1">
        <v>42413.876388888886</v>
      </c>
      <c r="G998" t="s">
        <v>65</v>
      </c>
      <c r="H998" t="s">
        <v>710</v>
      </c>
      <c r="I998" t="s">
        <v>1531</v>
      </c>
      <c r="J998">
        <v>21</v>
      </c>
      <c r="K998" t="s">
        <v>68</v>
      </c>
      <c r="L998" t="s">
        <v>50</v>
      </c>
      <c r="M998" t="s">
        <v>57</v>
      </c>
      <c r="N998" t="s">
        <v>69</v>
      </c>
      <c r="O998" t="s">
        <v>25</v>
      </c>
    </row>
    <row r="999" spans="1:15" x14ac:dyDescent="0.35">
      <c r="A999">
        <v>997491</v>
      </c>
      <c r="B999" t="s">
        <v>15</v>
      </c>
      <c r="C999" t="s">
        <v>78</v>
      </c>
      <c r="D999">
        <v>29</v>
      </c>
      <c r="E999" t="s">
        <v>17</v>
      </c>
      <c r="F999" s="1">
        <v>42435.835416666669</v>
      </c>
      <c r="G999" t="s">
        <v>76</v>
      </c>
      <c r="H999" t="s">
        <v>28</v>
      </c>
      <c r="I999" t="s">
        <v>1532</v>
      </c>
      <c r="J999">
        <v>20</v>
      </c>
      <c r="K999" t="s">
        <v>56</v>
      </c>
      <c r="L999" t="s">
        <v>31</v>
      </c>
      <c r="M999" t="s">
        <v>57</v>
      </c>
      <c r="N999" t="s">
        <v>24</v>
      </c>
      <c r="O999" t="s">
        <v>25</v>
      </c>
    </row>
    <row r="1000" spans="1:15" x14ac:dyDescent="0.35">
      <c r="A1000">
        <v>997491</v>
      </c>
      <c r="B1000" t="s">
        <v>15</v>
      </c>
      <c r="C1000" t="s">
        <v>78</v>
      </c>
      <c r="D1000">
        <v>29</v>
      </c>
      <c r="E1000" t="s">
        <v>17</v>
      </c>
      <c r="F1000" s="1">
        <v>42436.840277777781</v>
      </c>
      <c r="G1000" t="s">
        <v>76</v>
      </c>
      <c r="H1000" t="s">
        <v>71</v>
      </c>
      <c r="I1000" t="s">
        <v>1533</v>
      </c>
      <c r="J1000">
        <v>20</v>
      </c>
      <c r="K1000" t="s">
        <v>21</v>
      </c>
      <c r="L1000" t="s">
        <v>31</v>
      </c>
      <c r="M1000" t="s">
        <v>23</v>
      </c>
      <c r="N1000" t="s">
        <v>24</v>
      </c>
      <c r="O1000" t="s">
        <v>25</v>
      </c>
    </row>
    <row r="1001" spans="1:15" x14ac:dyDescent="0.35">
      <c r="A1001">
        <v>809091</v>
      </c>
      <c r="B1001" t="s">
        <v>15</v>
      </c>
      <c r="C1001" t="s">
        <v>78</v>
      </c>
      <c r="D1001">
        <v>51</v>
      </c>
      <c r="E1001" t="s">
        <v>35</v>
      </c>
      <c r="F1001" s="1">
        <v>42411.87222222222</v>
      </c>
      <c r="G1001" t="s">
        <v>371</v>
      </c>
      <c r="H1001" t="s">
        <v>19</v>
      </c>
      <c r="I1001" t="s">
        <v>1534</v>
      </c>
      <c r="J1001">
        <v>20</v>
      </c>
      <c r="K1001" t="s">
        <v>63</v>
      </c>
      <c r="L1001" t="s">
        <v>50</v>
      </c>
      <c r="M1001" t="s">
        <v>23</v>
      </c>
      <c r="N1001" t="s">
        <v>43</v>
      </c>
      <c r="O100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Bright_tv_viewership_analysis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Dikgole, Tshomarelo T</dc:creator>
  <cp:lastModifiedBy>Dikgole, Tshomarelo T</cp:lastModifiedBy>
  <dcterms:created xsi:type="dcterms:W3CDTF">2026-04-19T00:29:22Z</dcterms:created>
  <dcterms:modified xsi:type="dcterms:W3CDTF">2026-04-19T13:01:04Z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27a3850-2850-457c-8efb-fdd5fa4d27d3_Enabled">
    <vt:lpwstr>true</vt:lpwstr>
  </property>
  <property fmtid="{D5CDD505-2E9C-101B-9397-08002B2CF9AE}" pid="3" name="MSIP_Label_027a3850-2850-457c-8efb-fdd5fa4d27d3_SetDate">
    <vt:lpwstr>2026-04-19T00:29:22Z</vt:lpwstr>
  </property>
  <property fmtid="{D5CDD505-2E9C-101B-9397-08002B2CF9AE}" pid="4" name="MSIP_Label_027a3850-2850-457c-8efb-fdd5fa4d27d3_Method">
    <vt:lpwstr>Standard</vt:lpwstr>
  </property>
  <property fmtid="{D5CDD505-2E9C-101B-9397-08002B2CF9AE}" pid="5" name="MSIP_Label_027a3850-2850-457c-8efb-fdd5fa4d27d3_Name">
    <vt:lpwstr>027a3850-2850-457c-8efb-fdd5fa4d27d3</vt:lpwstr>
  </property>
  <property fmtid="{D5CDD505-2E9C-101B-9397-08002B2CF9AE}" pid="6" name="MSIP_Label_027a3850-2850-457c-8efb-fdd5fa4d27d3_SiteId">
    <vt:lpwstr>7369e6ec-faa6-42fa-bc0e-4f332da5b1db</vt:lpwstr>
  </property>
  <property fmtid="{D5CDD505-2E9C-101B-9397-08002B2CF9AE}" pid="7" name="MSIP_Label_027a3850-2850-457c-8efb-fdd5fa4d27d3_ActionId">
    <vt:lpwstr>56e8ee7c-22d9-4732-86ad-f6ab3b89d378</vt:lpwstr>
  </property>
  <property fmtid="{D5CDD505-2E9C-101B-9397-08002B2CF9AE}" pid="8" name="MSIP_Label_027a3850-2850-457c-8efb-fdd5fa4d27d3_ContentBits">
    <vt:lpwstr>0</vt:lpwstr>
  </property>
  <property fmtid="{D5CDD505-2E9C-101B-9397-08002B2CF9AE}" pid="9" name="MSIP_Label_027a3850-2850-457c-8efb-fdd5fa4d27d3_Tag">
    <vt:lpwstr>10, 3, 0, 1</vt:lpwstr>
  </property>
</Properties>
</file>